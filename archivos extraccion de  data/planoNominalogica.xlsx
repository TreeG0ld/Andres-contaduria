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iCloudDrive\Corporativa\GRUPO COUNTER\"/>
    </mc:Choice>
  </mc:AlternateContent>
  <xr:revisionPtr revIDLastSave="0" documentId="13_ncr:1_{3CE2E301-7595-4F2E-B6D4-B0457F7B53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CHIVO PLANO" sheetId="1" r:id="rId1"/>
    <sheet name="51 - ADMINISTRATIVOS" sheetId="2" r:id="rId2"/>
    <sheet name="52 - OPERACIONALES" sheetId="3" r:id="rId3"/>
    <sheet name="72 - PRODUCC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4" l="1"/>
  <c r="W21" i="4" s="1"/>
  <c r="W13" i="4"/>
  <c r="W11" i="4"/>
  <c r="V8" i="4"/>
  <c r="W9" i="4" s="1"/>
  <c r="W7" i="4"/>
  <c r="W6" i="4"/>
  <c r="W5" i="4"/>
  <c r="V4" i="4"/>
  <c r="V14" i="4" s="1"/>
  <c r="V3" i="4"/>
  <c r="W21" i="3"/>
  <c r="V20" i="3"/>
  <c r="W13" i="3"/>
  <c r="W11" i="3"/>
  <c r="V8" i="3"/>
  <c r="W9" i="3" s="1"/>
  <c r="W6" i="3"/>
  <c r="W5" i="3"/>
  <c r="V4" i="3"/>
  <c r="V14" i="3" s="1"/>
  <c r="V3" i="3"/>
  <c r="W7" i="3" s="1"/>
  <c r="V20" i="2"/>
  <c r="W21" i="2" s="1"/>
  <c r="W13" i="2"/>
  <c r="W11" i="2"/>
  <c r="V8" i="2"/>
  <c r="W9" i="2" s="1"/>
  <c r="W6" i="2"/>
  <c r="W5" i="2"/>
  <c r="V4" i="2"/>
  <c r="V14" i="2" s="1"/>
  <c r="V3" i="2"/>
  <c r="W7" i="2" s="1"/>
  <c r="W21" i="1"/>
  <c r="V20" i="1"/>
  <c r="W19" i="1"/>
  <c r="V18" i="1"/>
  <c r="W17" i="1"/>
  <c r="W15" i="1"/>
  <c r="V16" i="1"/>
  <c r="V14" i="1"/>
  <c r="W13" i="1"/>
  <c r="W11" i="1"/>
  <c r="W9" i="1"/>
  <c r="V18" i="4" l="1"/>
  <c r="W19" i="4" s="1"/>
  <c r="V16" i="4"/>
  <c r="W17" i="4" s="1"/>
  <c r="W15" i="4"/>
  <c r="V18" i="3"/>
  <c r="W19" i="3" s="1"/>
  <c r="V16" i="3"/>
  <c r="W17" i="3" s="1"/>
  <c r="W15" i="3"/>
  <c r="V18" i="2"/>
  <c r="W19" i="2" s="1"/>
  <c r="W15" i="2"/>
  <c r="V16" i="2"/>
  <c r="W17" i="2" s="1"/>
  <c r="V8" i="1"/>
  <c r="W7" i="1"/>
  <c r="W6" i="1"/>
  <c r="W5" i="1" l="1"/>
  <c r="V4" i="1"/>
  <c r="V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tc={AC829DE1-5BF2-4DE3-9E19-7699D295A47C}</author>
    <author>tc={0BCCC862-07E2-42E4-9A47-173D20F0BCE7}</author>
    <author>tc={4D9FF830-549F-4F3D-953A-7C6A979362E5}</author>
    <author>tc={B75821D9-A384-4429-8504-726B7A8369F2}</author>
    <author>tc={1564CE8E-2763-420E-BB5D-7BEB824A74CC}</author>
    <author>tc={E10E6A2B-29D4-449B-8C40-C8491B04BDF5}</author>
    <author>tc={AA18C951-9861-4F3D-B006-91ADE1C49ECF}</author>
    <author>tc={741152A2-0DD5-4DE6-B5BB-608DD3DC3E70}</author>
    <author>tc={CD44B7F9-3368-4E10-9AC3-FA54C7E54364}</author>
    <author>tc={C7CEBA84-08F8-42AA-9E84-6A34D9F6E305}</author>
    <author>tc={4B6B9028-D806-443B-B53A-25FF103D9A3E}</author>
    <author>tc={DCDB9164-E050-4DBB-81BA-22133FD8549A}</author>
    <author>tc={6DFB9DCF-8DE7-4F9C-97F1-D6BA78993828}</author>
    <author>tc={282BE783-38D9-4AEE-8FEE-C31D1FB5FD70}</author>
    <author>tc={8F168956-9DEA-467F-8267-4D3DE0AFFFB0}</author>
    <author>tc={4A9351C7-BD0C-47E2-8A4F-6600D8E71AEB}</author>
    <author>tc={FCF2E000-276B-4FB3-8C79-A56C1AB65A2B}</author>
    <author>tc={F9686144-B112-4CAC-AE45-1230778621AE}</author>
    <author>tc={306D68B4-C40B-4480-B7BF-68E26F42E3E6}</author>
    <author>tc={8CD2A16E-0E37-43A5-B3EF-AB280BD7699E}</author>
    <author>tc={54A253F1-2716-40C6-A9FB-650605479213}</author>
    <author>tc={C54BDE0E-8E39-4F93-9FCA-6F023DAAEB23}</author>
    <author>tc={3361B38B-DF9B-45A5-863D-F75ECC4E5F70}</author>
    <author>tc={45C3F189-83F1-4D71-829F-3C69A825FAD6}</author>
    <author>tc={990C18E5-C782-4842-A4DC-47F7D6019942}</author>
    <author>tc={C966F1A9-267C-40E1-9B9E-ED5C81619523}</author>
    <author>tc={F5997159-2487-404A-B14C-3EF5F5BB84FC}</author>
    <author>tc={C4E44BC6-7C08-4848-98A5-C02EE3E38AA9}</author>
    <author>tc={9018C4CF-9FA7-4568-8B3F-2763A05F8602}</author>
    <author>tc={41826908-A3F2-4070-8518-AC3C2DC7EA63}</author>
    <author>tc={C8A02070-01B4-49B7-B642-15DED5CF301C}</author>
    <author>tc={C84C22C2-C31D-4904-9BA6-2B4A12B41D4A}</author>
    <author>tc={F4E8F075-BC2F-422C-A44A-A91775C1A13C}</author>
    <author>tc={9AC942D9-FE1E-4D0C-B2B7-E166599417B9}</author>
    <author>tc={372AD0C3-D3B6-446C-A0A4-DC4C93EFDD47}</author>
    <author>tc={F2B3D55C-94A3-4A56-89C1-50DDEAB6EBB8}</author>
    <author>tc={59A2E9A2-3C72-451C-91DA-37F464CAD254}</author>
    <author>tc={1696E1D1-BC91-4FEE-B046-082923CCF0CB}</author>
    <author>tc={EE35ACAF-7A44-4B0A-B074-8C1592511A97}</author>
    <author>tc={47443453-8050-45DB-BAED-555FCAA851F2}</author>
    <author>tc={E07039D9-23B7-4D20-8776-832F0819763A}</author>
    <author>tc={C97E767F-3523-42D9-9FFA-82051A396038}</author>
    <author>tc={74A923F9-5B82-45B7-8E40-CE2A6695FEE8}</author>
    <author>tc={9692F9FF-24BF-4803-A38A-1040427B4B0C}</author>
    <author>tc={CF51F976-D597-4092-AD95-805E542B04D6}</author>
    <author>tc={2F99F423-6A16-45FD-AC57-0CDEF2FED4BE}</author>
    <author>tc={1F8B6815-3CD1-4AC4-8E3E-FBD9CF003AE3}</author>
    <author>tc={26495FD9-90CE-4D96-BD2C-7C287385965F}</author>
    <author>tc={8D33F2CC-DB18-4352-B2B5-3C27E6E57FA2}</author>
  </authors>
  <commentList>
    <comment ref="F1" authorId="0" shapeId="0" xr:uid="{AC829DE1-5BF2-4DE3-9E19-7699D295A4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INICIO 52 PUEDE VARIAR DEPENDIENDO DEL EMPLEADO
51 - ADMINISTRATIVOS
52 - OPERACIONALES (VENTAS)
72 - PRODUCCION</t>
      </text>
    </comment>
    <comment ref="V1" authorId="1" shapeId="0" xr:uid="{0BCCC862-07E2-42E4-9A47-173D20F0BC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NUMEROS ENTEROS</t>
      </text>
    </comment>
    <comment ref="W1" authorId="2" shapeId="0" xr:uid="{4D9FF830-549F-4F3D-953A-7C6A979362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NUMEROS ENTEROS</t>
      </text>
    </comment>
    <comment ref="A2" authorId="3" shapeId="0" xr:uid="{B75821D9-A384-4429-8504-726B7A8369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SERA EL 8</t>
      </text>
    </comment>
    <comment ref="B2" authorId="4" shapeId="0" xr:uid="{1564CE8E-2763-420E-BB5D-7BEB824A74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UN CONSECUTIVO POR EMPLEADO; 
EL PLANO PUEDE TENER HASTA 500 RENGLONES</t>
      </text>
    </comment>
    <comment ref="C2" authorId="5" shapeId="0" xr:uid="{E10E6A2B-29D4-449B-8C40-C8491B04BD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ULTIMO DIA DEL MES</t>
      </text>
    </comment>
    <comment ref="D2" authorId="6" shapeId="0" xr:uid="{AA18C951-9861-4F3D-B006-91ADE1C49E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SERA COP</t>
      </text>
    </comment>
    <comment ref="F2" authorId="7" shapeId="0" xr:uid="{741152A2-0DD5-4DE6-B5BB-608DD3DC3E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SUELDO BASE</t>
      </text>
    </comment>
    <comment ref="G2" authorId="8" shapeId="0" xr:uid="{CD44B7F9-3368-4E10-9AC3-FA54C7E543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DEL EMPLEADO, SOLO NUMEROS</t>
      </text>
    </comment>
    <comment ref="V2" authorId="9" shapeId="0" xr:uid="{C7CEBA84-08F8-42AA-9E84-6A34D9F6E3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DEL IBC</t>
      </text>
    </comment>
    <comment ref="F3" authorId="10" shapeId="0" xr:uid="{4B6B9028-D806-443B-B53A-25FF103D9A3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NO SALARIAL LEY 1393/2010 </t>
      </text>
    </comment>
    <comment ref="V3" authorId="11" shapeId="0" xr:uid="{DCDB9164-E050-4DBB-81BA-22133FD854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40% DEL IBC, REDONDEAR EN MILES HACIA ABAJO.
ESTE RENGLON SERIA OPCIONAL.</t>
      </text>
    </comment>
    <comment ref="F4" authorId="12" shapeId="0" xr:uid="{6DFB9DCF-8DE7-4F9C-97F1-D6BA7899382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PATRONAL DE TRANSPORTE </t>
      </text>
    </comment>
    <comment ref="V4" authorId="13" shapeId="0" xr:uid="{282BE783-38D9-4AEE-8FEE-C31D1FB5F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DIAS COT MULTIPLICADO POR 8,303.17.
EL VALOR DE 8,303.17 VARIA CADA AÑO (1RO DE ENERO).</t>
      </text>
    </comment>
    <comment ref="F5" authorId="14" shapeId="0" xr:uid="{8F168956-9DEA-467F-8267-4D3DE0AFFF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EPS POR PAGAR </t>
      </text>
    </comment>
    <comment ref="W5" authorId="15" shapeId="0" xr:uid="{4A9351C7-BD0C-47E2-8A4F-6600D8E71A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4% DEL IBC DE SALUD, REDONDEAR EN CENTENAS HACIA ARRIBA.</t>
      </text>
    </comment>
    <comment ref="F6" authorId="16" shapeId="0" xr:uid="{FCF2E000-276B-4FB3-8C79-A56C1AB65A2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AFP POR PAGAR </t>
      </text>
    </comment>
    <comment ref="W6" authorId="17" shapeId="0" xr:uid="{F9686144-B112-4CAC-AE45-1230778621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4% DEL IBC DE PENSION, REDONDEAR EN CENTENAS HACIA ARRIBA.</t>
      </text>
    </comment>
    <comment ref="F7" authorId="18" shapeId="0" xr:uid="{306D68B4-C40B-4480-B7BF-68E26F42E3E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NOMINA POR PAGAR </t>
      </text>
    </comment>
    <comment ref="W7" authorId="19" shapeId="0" xr:uid="{8CD2A16E-0E37-43A5-B3EF-AB280BD769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+ NOSALARIAL + AUX TRANSPORTE - APORTES SALUD - APORTES PENSION</t>
      </text>
    </comment>
    <comment ref="F8" authorId="20" shapeId="0" xr:uid="{54A253F1-2716-40C6-A9FB-65060547921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PENSION - AFP </t>
      </text>
    </comment>
    <comment ref="V8" authorId="21" shapeId="0" xr:uid="{C54BDE0E-8E39-4F93-9FCA-6F023DAAEB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12% DEL IBC DE PENSION</t>
      </text>
    </comment>
    <comment ref="F9" authorId="22" shapeId="0" xr:uid="{3361B38B-DF9B-45A5-863D-F75ECC4E5F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AFP POR PAGAR </t>
      </text>
    </comment>
    <comment ref="G9" authorId="23" shapeId="0" xr:uid="{45C3F189-83F1-4D71-829F-3C69A825FA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NIT DE LA EMPRESA</t>
      </text>
    </comment>
    <comment ref="W9" authorId="24" shapeId="0" xr:uid="{990C18E5-C782-4842-A4DC-47F7D60199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V8</t>
      </text>
    </comment>
    <comment ref="V10" authorId="25" shapeId="0" xr:uid="{C966F1A9-267C-40E1-9B9E-ED5C816195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AL TOTAL APORTE ARP DE LA PLANILLA</t>
      </text>
    </comment>
    <comment ref="F11" authorId="26" shapeId="0" xr:uid="{F5997159-2487-404A-B14C-3EF5F5BB84F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ARL POR PAGAR </t>
      </text>
    </comment>
    <comment ref="G11" authorId="27" shapeId="0" xr:uid="{C4E44BC6-7C08-4848-98A5-C02EE3E38A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EMPRESA SIEMPRE MANEJA SU ARP (O ARL), EN CONFIGURACION PODRIA PREGUNTAR ARL DE LA EMPRESA PARA Q SIEMPRE MANEJE EL MISMO NIT</t>
      </text>
    </comment>
    <comment ref="W11" authorId="28" shapeId="0" xr:uid="{9018C4CF-9FA7-4568-8B3F-2763A05F86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CEDLA V10</t>
      </text>
    </comment>
    <comment ref="V12" authorId="29" shapeId="0" xr:uid="{41826908-A3F2-4070-8518-AC3C2DC7EA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AL TOTAL APORTE CCF DE LA PLANILLA</t>
      </text>
    </comment>
    <comment ref="F13" authorId="30" shapeId="0" xr:uid="{C8A02070-01B4-49B7-B642-15DED5CF30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CCF POR PAGAR </t>
      </text>
    </comment>
    <comment ref="G13" authorId="31" shapeId="0" xr:uid="{C84C22C2-C31D-4904-9BA6-2B4A12B41D4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EMPRESA SIEMPRE MANEJA SU CCF (CAJA COMPENSACION FAMILIAR), EN CONFIGURACION PODRIA PREGUNTAR CCF DE LA EMPRESA PARA Q SIEMPRE MANEJE LA MISMO NIT
</t>
      </text>
    </comment>
    <comment ref="W13" authorId="32" shapeId="0" xr:uid="{F4E8F075-BC2F-422C-A44A-A91775C1A1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CEDLA V12</t>
      </text>
    </comment>
    <comment ref="F14" authorId="33" shapeId="0" xr:uid="{9AC942D9-FE1E-4D0C-B2B7-E166599417B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DE CESANTIAS </t>
      </text>
    </comment>
    <comment ref="V14" authorId="34" shapeId="0" xr:uid="{372AD0C3-D3B6-446C-A0A4-DC4C93EFDD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(CELDA V2) + AUX TRANSPORTE (CELDA V4) MULTIPLICADO POR EL 8.33%.
PUEDE OCURRIR Q EN ALGUNOS CASOS SE INCLUYA LOS PAGOS NO SALARIALES (CELDA V3)</t>
      </text>
    </comment>
    <comment ref="F15" authorId="35" shapeId="0" xr:uid="{F2B3D55C-94A3-4A56-89C1-50DDEAB6EB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DE CESANTIAS POR PAGAR</t>
      </text>
    </comment>
    <comment ref="W15" authorId="36" shapeId="0" xr:uid="{59A2E9A2-3C72-451C-91DA-37F464CAD2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V14</t>
      </text>
    </comment>
    <comment ref="F16" authorId="37" shapeId="0" xr:uid="{1696E1D1-BC91-4FEE-B046-082923CCF0C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INTERESES DE CESANTIAS </t>
      </text>
    </comment>
    <comment ref="V16" authorId="38" shapeId="0" xr:uid="{EE35ACAF-7A44-4B0A-B074-8C1592511A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CELDA V14 POR EL 12%</t>
      </text>
    </comment>
    <comment ref="F17" authorId="39" shapeId="0" xr:uid="{47443453-8050-45DB-BAED-555FCAA851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INTERESES DE CESANTIAS POR PAGAR</t>
      </text>
    </comment>
    <comment ref="W17" authorId="40" shapeId="0" xr:uid="{E07039D9-23B7-4D20-8776-832F081976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V16</t>
      </text>
    </comment>
    <comment ref="F18" authorId="41" shapeId="0" xr:uid="{C97E767F-3523-42D9-9FFA-82051A39603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PRIMA DE SERVICIOS </t>
      </text>
    </comment>
    <comment ref="V18" authorId="42" shapeId="0" xr:uid="{74A923F9-5B82-45B7-8E40-CE2A6695FE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V14</t>
      </text>
    </comment>
    <comment ref="F19" authorId="43" shapeId="0" xr:uid="{9692F9FF-24BF-4803-A38A-1040427B4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PRIMA DE SERVICIOS POR PAGAR</t>
      </text>
    </comment>
    <comment ref="W19" authorId="44" shapeId="0" xr:uid="{CF51F976-D597-4092-AD95-805E542B04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V18</t>
      </text>
    </comment>
    <comment ref="F20" authorId="45" shapeId="0" xr:uid="{2F99F423-6A16-45FD-AC57-0CDEF2FED4B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</t>
      </text>
    </comment>
    <comment ref="V20" authorId="46" shapeId="0" xr:uid="{1F8B6815-3CD1-4AC4-8E3E-FBD9CF003AE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(CELDA V2) MULTIPLICADO POR EL 4.17%.
PUEDE OCURRIR Q EN ALGUNOS CASOS SE INCLUYA LOS PAGOS NO SALARIALES (CELDA V3)
</t>
      </text>
    </comment>
    <comment ref="F21" authorId="47" shapeId="0" xr:uid="{26495FD9-90CE-4D96-BD2C-7C28738596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CONSOLIDADAS POR PAGAR</t>
      </text>
    </comment>
    <comment ref="W21" authorId="48" shapeId="0" xr:uid="{8D33F2CC-DB18-4352-B2B5-3C27E6E57F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V20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tc={5D92E8CA-CF2E-47EE-ABE1-731CC3F2B235}</author>
    <author>tc={1A6DA43F-563C-4988-819F-A9DF3AE4530C}</author>
    <author>tc={81BF6158-6BE3-4EEA-B9AD-FA553A319F84}</author>
    <author>tc={4BF5062B-9C2B-4F99-841D-88AD56E770CE}</author>
    <author>tc={989E5350-8E28-42CA-B238-B61604378AF4}</author>
    <author>tc={A8718A92-6E5F-4777-AB09-EE0577F5593C}</author>
    <author>tc={1545E393-9F65-43B3-A8DE-F1E6C342870E}</author>
    <author>tc={DC177561-F587-4185-A4BD-555B65E03EA2}</author>
    <author>tc={07B0CAC8-3CBD-4C1E-B1DA-1722E25C16A3}</author>
    <author>tc={E9FB8DC8-E6C7-4284-B6B1-8354A016BCD9}</author>
    <author>tc={1BC6BC30-120E-4B15-9269-EA857EB594FA}</author>
    <author>tc={EB2C0642-253F-4CC2-A45B-BF333EE6DC9B}</author>
    <author>tc={10D9C7E5-16C9-471C-8A8C-964438A6B529}</author>
    <author>tc={76FF8EC0-B964-4298-96F3-7C83623080B1}</author>
    <author>tc={08561DEE-A03C-4D42-8E2C-30379D520D32}</author>
    <author>tc={256A7F71-4947-420C-8CE3-5AB370739429}</author>
    <author>tc={99C5040A-C0A9-4885-855A-5E1BAD59FC3E}</author>
    <author>tc={288CBD1C-105A-4EC2-BCFD-D94D08B5DC22}</author>
    <author>tc={3827ACA4-83B2-44AE-8E9B-926482BA3604}</author>
    <author>tc={3D8EF59D-0AE0-4945-A600-F9817CD36223}</author>
    <author>tc={7382F54B-EFA8-49C9-B3EE-B009B554EE51}</author>
    <author>tc={E56BD079-7489-4E83-8CEE-9566710E4F36}</author>
    <author>tc={BE101E62-D7DE-4BD8-8B9D-F14535D55DAF}</author>
    <author>tc={3DC20B14-F1FC-4A7F-A16F-7C0717724378}</author>
    <author>tc={AB3CA075-C7B5-4038-BFFD-9F3786F4EE1E}</author>
    <author>tc={399BE1FA-E125-433C-9B7E-4AF360D3CAB5}</author>
    <author>tc={BD684200-7FD3-49A8-9A9D-FCB3E6A163A7}</author>
    <author>tc={78726C34-7825-4A61-BF9C-FB0FF223FD1E}</author>
    <author>tc={BA9678AA-C6BE-4CAE-AEB5-E9B7463C8243}</author>
    <author>tc={437A9FBF-C2DE-4BE4-AAFD-7A57CADC8FB3}</author>
    <author>tc={154E2B4B-06F1-4E85-9282-4B333F8A5323}</author>
    <author>tc={F0893BCF-6ECE-4640-9D2A-ECD57FFA468A}</author>
    <author>tc={1B6513CC-29B8-4DF1-9846-16893CA68DF2}</author>
    <author>tc={35129292-C722-4675-84BA-73B98F8CB32D}</author>
    <author>tc={AE1907CD-3C97-46FA-9431-433F749A485E}</author>
    <author>tc={D484AE74-1061-42E2-85F9-78AE2F91F525}</author>
    <author>tc={D5589C0D-1661-4BFF-9305-E5C41D9614BE}</author>
    <author>tc={2A1E0387-BF6F-4AF4-8DEF-8CDFFAC98588}</author>
    <author>tc={E4549324-B7CC-4138-82F1-559EFBC5945D}</author>
    <author>tc={FDEC8AF1-1A2F-4FDA-9D18-6E1675527CEB}</author>
    <author>tc={3F4E6832-E0EA-4A6B-A328-26EF9C21540D}</author>
    <author>tc={0FA86613-052A-40F0-A37D-AF1FB8C259AE}</author>
    <author>tc={3C2E230D-5CCD-434F-A9D9-43A6D42D0A53}</author>
    <author>tc={842B8652-6FBC-4145-B07E-55F91654AD43}</author>
    <author>tc={83708894-B469-4560-AE03-CABA4A08A68E}</author>
    <author>tc={437C80E4-1F48-418D-A7A1-67DAC06576F4}</author>
    <author>tc={0101C447-DE06-46BA-A0F6-8C06B6217EAE}</author>
    <author>tc={57479BCA-2C7F-4D85-AF99-759518E98FA9}</author>
  </authors>
  <commentList>
    <comment ref="V1" authorId="0" shapeId="0" xr:uid="{5D92E8CA-CF2E-47EE-ABE1-731CC3F2B2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NUMEROS ENTEROS</t>
      </text>
    </comment>
    <comment ref="W1" authorId="1" shapeId="0" xr:uid="{1A6DA43F-563C-4988-819F-A9DF3AE453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NUMEROS ENTEROS</t>
      </text>
    </comment>
    <comment ref="A2" authorId="2" shapeId="0" xr:uid="{81BF6158-6BE3-4EEA-B9AD-FA553A319F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SERA EL 8</t>
      </text>
    </comment>
    <comment ref="B2" authorId="3" shapeId="0" xr:uid="{4BF5062B-9C2B-4F99-841D-88AD56E770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UN CONSECUTIVO POR EMPLEADO; 
EL PLANO PUEDE TENER HASTA 500 RENGLONES</t>
      </text>
    </comment>
    <comment ref="C2" authorId="4" shapeId="0" xr:uid="{989E5350-8E28-42CA-B238-B61604378A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ULTIMO DIA DEL MES</t>
      </text>
    </comment>
    <comment ref="D2" authorId="5" shapeId="0" xr:uid="{A8718A92-6E5F-4777-AB09-EE0577F559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SERA COP</t>
      </text>
    </comment>
    <comment ref="F2" authorId="6" shapeId="0" xr:uid="{1545E393-9F65-43B3-A8DE-F1E6C34287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SUELDO BASE</t>
      </text>
    </comment>
    <comment ref="G2" authorId="7" shapeId="0" xr:uid="{DC177561-F587-4185-A4BD-555B65E03E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DEL EMPLEADO, SOLO NUMEROS</t>
      </text>
    </comment>
    <comment ref="V2" authorId="8" shapeId="0" xr:uid="{07B0CAC8-3CBD-4C1E-B1DA-1722E25C16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DEL IBC</t>
      </text>
    </comment>
    <comment ref="F3" authorId="9" shapeId="0" xr:uid="{E9FB8DC8-E6C7-4284-B6B1-8354A016BCD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NO SALARIAL LEY 1393/2010 </t>
      </text>
    </comment>
    <comment ref="V3" authorId="10" shapeId="0" xr:uid="{1BC6BC30-120E-4B15-9269-EA857EB594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40% DEL IBC, REDONDEAR EN MILES HACIA ABAJO.
ESTE RENGLON SERIA OPCIONAL.</t>
      </text>
    </comment>
    <comment ref="F4" authorId="11" shapeId="0" xr:uid="{EB2C0642-253F-4CC2-A45B-BF333EE6DC9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PATRONAL DE TRANSPORTE </t>
      </text>
    </comment>
    <comment ref="V4" authorId="12" shapeId="0" xr:uid="{10D9C7E5-16C9-471C-8A8C-964438A6B5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DIAS COT MULTIPLICADO POR 8,303.17.
EL VALOR DE 8,303.17 VARIA CADA AÑO (1RO DE ENERO).</t>
      </text>
    </comment>
    <comment ref="F5" authorId="13" shapeId="0" xr:uid="{76FF8EC0-B964-4298-96F3-7C83623080B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EPS POR PAGAR </t>
      </text>
    </comment>
    <comment ref="W5" authorId="14" shapeId="0" xr:uid="{08561DEE-A03C-4D42-8E2C-30379D520D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4% DEL IBC DE SALUD, REDONDEAR EN CENTENAS HACIA ARRIBA.</t>
      </text>
    </comment>
    <comment ref="F6" authorId="15" shapeId="0" xr:uid="{256A7F71-4947-420C-8CE3-5AB37073942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AFP POR PAGAR </t>
      </text>
    </comment>
    <comment ref="W6" authorId="16" shapeId="0" xr:uid="{99C5040A-C0A9-4885-855A-5E1BAD59FC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4% DEL IBC DE PENSION, REDONDEAR EN CENTENAS HACIA ARRIBA.</t>
      </text>
    </comment>
    <comment ref="F7" authorId="17" shapeId="0" xr:uid="{288CBD1C-105A-4EC2-BCFD-D94D08B5DC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NOMINA POR PAGAR </t>
      </text>
    </comment>
    <comment ref="W7" authorId="18" shapeId="0" xr:uid="{3827ACA4-83B2-44AE-8E9B-926482BA36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+ NOSALARIAL + AUX TRANSPORTE - APORTES SALUD - APORTES PENSION</t>
      </text>
    </comment>
    <comment ref="F8" authorId="19" shapeId="0" xr:uid="{3D8EF59D-0AE0-4945-A600-F9817CD362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PENSION - AFP </t>
      </text>
    </comment>
    <comment ref="V8" authorId="20" shapeId="0" xr:uid="{7382F54B-EFA8-49C9-B3EE-B009B554EE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12% DEL IBC DE PENSION</t>
      </text>
    </comment>
    <comment ref="F9" authorId="21" shapeId="0" xr:uid="{E56BD079-7489-4E83-8CEE-9566710E4F3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AFP POR PAGAR </t>
      </text>
    </comment>
    <comment ref="G9" authorId="22" shapeId="0" xr:uid="{BE101E62-D7DE-4BD8-8B9D-F14535D55D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NIT DE LA EMPRESA</t>
      </text>
    </comment>
    <comment ref="W9" authorId="23" shapeId="0" xr:uid="{3DC20B14-F1FC-4A7F-A16F-7C07177243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V8</t>
      </text>
    </comment>
    <comment ref="V10" authorId="24" shapeId="0" xr:uid="{AB3CA075-C7B5-4038-BFFD-9F3786F4EE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AL TOTAL APORTE ARP DE LA PLANILLA</t>
      </text>
    </comment>
    <comment ref="F11" authorId="25" shapeId="0" xr:uid="{399BE1FA-E125-433C-9B7E-4AF360D3CA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ARL POR PAGAR </t>
      </text>
    </comment>
    <comment ref="G11" authorId="26" shapeId="0" xr:uid="{BD684200-7FD3-49A8-9A9D-FCB3E6A163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EMPRESA SIEMPRE MANEJA SU ARP (O ARL), EN CONFIGURACION PODRIA PREGUNTAR ARL DE LA EMPRESA PARA Q SIEMPRE MANEJE EL MISMO NIT</t>
      </text>
    </comment>
    <comment ref="W11" authorId="27" shapeId="0" xr:uid="{78726C34-7825-4A61-BF9C-FB0FF223FD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CEDLA V10</t>
      </text>
    </comment>
    <comment ref="V12" authorId="28" shapeId="0" xr:uid="{BA9678AA-C6BE-4CAE-AEB5-E9B7463C82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AL TOTAL APORTE CCF DE LA PLANILLA</t>
      </text>
    </comment>
    <comment ref="F13" authorId="29" shapeId="0" xr:uid="{437A9FBF-C2DE-4BE4-AAFD-7A57CADC8FB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CCF POR PAGAR </t>
      </text>
    </comment>
    <comment ref="G13" authorId="30" shapeId="0" xr:uid="{154E2B4B-06F1-4E85-9282-4B333F8A532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EMPRESA SIEMPRE MANEJA SU CCF (CAJA COMPENSACION FAMILIAR), EN CONFIGURACION PODRIA PREGUNTAR CCF DE LA EMPRESA PARA Q SIEMPRE MANEJE LA MISMO NIT
</t>
      </text>
    </comment>
    <comment ref="W13" authorId="31" shapeId="0" xr:uid="{F0893BCF-6ECE-4640-9D2A-ECD57FFA46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CEDLA V12</t>
      </text>
    </comment>
    <comment ref="F14" authorId="32" shapeId="0" xr:uid="{1B6513CC-29B8-4DF1-9846-16893CA68DF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DE CESANTIAS </t>
      </text>
    </comment>
    <comment ref="V14" authorId="33" shapeId="0" xr:uid="{35129292-C722-4675-84BA-73B98F8CB3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(CELDA V2) + AUX TRANSPORTE (CELDA V4) MULTIPLICADO POR EL 8.33%.
PUEDE OCURRIR Q EN ALGUNOS CASOS SE INCLUYA LOS PAGOS NO SALARIALES (CELDA V3)</t>
      </text>
    </comment>
    <comment ref="F15" authorId="34" shapeId="0" xr:uid="{AE1907CD-3C97-46FA-9431-433F749A48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DE CESANTIAS POR PAGAR</t>
      </text>
    </comment>
    <comment ref="W15" authorId="35" shapeId="0" xr:uid="{D484AE74-1061-42E2-85F9-78AE2F91F5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V14</t>
      </text>
    </comment>
    <comment ref="F16" authorId="36" shapeId="0" xr:uid="{D5589C0D-1661-4BFF-9305-E5C41D9614B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INTERESES DE CESANTIAS </t>
      </text>
    </comment>
    <comment ref="V16" authorId="37" shapeId="0" xr:uid="{2A1E0387-BF6F-4AF4-8DEF-8CDFFAC985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CELDA V14 POR EL 12%</t>
      </text>
    </comment>
    <comment ref="F17" authorId="38" shapeId="0" xr:uid="{E4549324-B7CC-4138-82F1-559EFBC594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INTERESES DE CESANTIAS POR PAGAR</t>
      </text>
    </comment>
    <comment ref="W17" authorId="39" shapeId="0" xr:uid="{FDEC8AF1-1A2F-4FDA-9D18-6E1675527C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V16</t>
      </text>
    </comment>
    <comment ref="F18" authorId="40" shapeId="0" xr:uid="{3F4E6832-E0EA-4A6B-A328-26EF9C21540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PRIMA DE SERVICIOS </t>
      </text>
    </comment>
    <comment ref="V18" authorId="41" shapeId="0" xr:uid="{0FA86613-052A-40F0-A37D-AF1FB8C259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V14</t>
      </text>
    </comment>
    <comment ref="F19" authorId="42" shapeId="0" xr:uid="{3C2E230D-5CCD-434F-A9D9-43A6D42D0A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PRIMA DE SERVICIOS POR PAGAR</t>
      </text>
    </comment>
    <comment ref="W19" authorId="43" shapeId="0" xr:uid="{842B8652-6FBC-4145-B07E-55F91654AD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V18</t>
      </text>
    </comment>
    <comment ref="F20" authorId="44" shapeId="0" xr:uid="{83708894-B469-4560-AE03-CABA4A08A6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</t>
      </text>
    </comment>
    <comment ref="V20" authorId="45" shapeId="0" xr:uid="{437C80E4-1F48-418D-A7A1-67DAC06576F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(CELDA V2) MULTIPLICADO POR EL 4.17%.
PUEDE OCURRIR Q EN ALGUNOS CASOS SE INCLUYA LOS PAGOS NO SALARIALES (CELDA V3)
</t>
      </text>
    </comment>
    <comment ref="F21" authorId="46" shapeId="0" xr:uid="{0101C447-DE06-46BA-A0F6-8C06B6217E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CONSOLIDADAS POR PAGAR</t>
      </text>
    </comment>
    <comment ref="W21" authorId="47" shapeId="0" xr:uid="{57479BCA-2C7F-4D85-AF99-759518E98F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V20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tc={88C7B3BB-B1A4-4038-8307-194A63573A66}</author>
    <author>tc={AFFE3D20-83EA-49DC-B6CA-FA3B60825AED}</author>
    <author>tc={7AA58BE2-8A79-4913-82F1-8EDE6A25A9F4}</author>
    <author>tc={6DFA87BA-F5C6-428B-A963-A5B3E51560D5}</author>
    <author>tc={03ECC813-9209-4824-ACF2-9B52117F8A74}</author>
    <author>tc={47E4DB98-47C8-4677-80AD-631602CC402B}</author>
    <author>tc={B749DA0C-34D2-476C-AEDC-539824C14B72}</author>
    <author>tc={454F9604-4C77-46CA-AC90-74CF23A06557}</author>
    <author>tc={500E3E20-54C3-4C80-829B-D04935635670}</author>
    <author>tc={BF25DF8A-BABB-4FA7-BA40-6FAE678A6A8E}</author>
    <author>tc={55FC8074-59DB-4D16-BBE0-18E16663E53A}</author>
    <author>tc={3A502C20-1864-4FC6-8EA4-4B71DECC0B9A}</author>
    <author>tc={69611B54-B296-4230-9821-724F4855EE5E}</author>
    <author>tc={A30A47DB-C8A7-487C-B5EF-49F76671DA62}</author>
    <author>tc={47C93531-AB6E-4FE1-AFE1-D5A55955CED5}</author>
    <author>tc={5B773DD1-26FA-4621-A99D-3783D99AA4ED}</author>
    <author>tc={54347A69-665B-4EE1-9516-1077304100F7}</author>
    <author>tc={876B642A-4655-4F2F-B31D-7C015FC7E5B5}</author>
    <author>tc={87C7C23F-C30F-4B99-B7DA-6B128264A1DB}</author>
    <author>tc={00F3537D-E4D1-4B15-92B0-D00D1A334056}</author>
    <author>tc={98EA91EC-A9E5-4EE7-9EBE-4F1A625242DB}</author>
    <author>tc={95B80BA1-1302-4273-A6CD-DD4E11A90E46}</author>
    <author>tc={765B09C3-CF22-42FA-AB12-B061F27B49CF}</author>
    <author>tc={25160172-57B1-4E7E-BF69-205E6801A8AE}</author>
    <author>tc={1C00C3DE-EC3E-4A70-B2D5-A81A5756123E}</author>
    <author>tc={43B1388E-33D2-474A-8B5B-2197903BCAB0}</author>
    <author>tc={715EF5C1-5386-4EBA-AB58-DB9CFE4F9BC7}</author>
    <author>tc={AC7EE00C-039D-4518-AD89-C7590A976A29}</author>
    <author>tc={D20843E9-5B24-466A-AB4E-83505CC039E7}</author>
    <author>tc={4B3AA4F8-F649-4844-BB40-8C8C191AEAF8}</author>
    <author>tc={21D134CC-2377-4360-8A6B-0EB0692A209C}</author>
    <author>tc={3C4FC309-5C4D-4CF7-BCF7-DFA142FCB38E}</author>
    <author>tc={657903C6-8062-48B0-8E0B-D913252A48EE}</author>
    <author>tc={0D8C495D-DF3F-42CF-B2B1-940B7D502C44}</author>
    <author>tc={A2B4CE99-6F99-4205-A142-CFCA9AE610E0}</author>
    <author>tc={9B53C93E-7431-49D0-B41E-D629395E350B}</author>
    <author>tc={B0F83F7A-E0C6-4803-9AB1-7460B12A3F33}</author>
    <author>tc={B495DCDA-2702-4C9B-B9FD-29473DCE4437}</author>
    <author>tc={B3F8193E-B6CC-4F26-B7E1-680D53A9ACFA}</author>
    <author>tc={513756C8-D7B0-4C83-B601-763183726B9B}</author>
    <author>tc={1A74E7B5-D735-480C-8027-6EC31BCA63D6}</author>
    <author>tc={002A2EAF-9700-4064-B73E-7896CB44D73A}</author>
    <author>tc={B42A80CB-90F4-4715-AA32-856423A91B50}</author>
    <author>tc={83E3FD6A-072A-4441-9490-96002F36F051}</author>
    <author>tc={C4049B2F-7BBD-4872-86A3-942D0C698D35}</author>
    <author>tc={46C2AEE3-A8C5-445F-8AF0-C498F5D82001}</author>
    <author>tc={65A074E4-C422-4BA2-B798-0EA2D5C4343B}</author>
    <author>tc={398282EA-D0BB-4CE2-8160-575AEDD2FE94}</author>
  </authors>
  <commentList>
    <comment ref="V1" authorId="0" shapeId="0" xr:uid="{88C7B3BB-B1A4-4038-8307-194A63573A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NUMEROS ENTEROS</t>
      </text>
    </comment>
    <comment ref="W1" authorId="1" shapeId="0" xr:uid="{AFFE3D20-83EA-49DC-B6CA-FA3B60825A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NUMEROS ENTEROS</t>
      </text>
    </comment>
    <comment ref="A2" authorId="2" shapeId="0" xr:uid="{7AA58BE2-8A79-4913-82F1-8EDE6A25A9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SERA EL 8</t>
      </text>
    </comment>
    <comment ref="B2" authorId="3" shapeId="0" xr:uid="{6DFA87BA-F5C6-428B-A963-A5B3E51560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UN CONSECUTIVO POR EMPLEADO; 
EL PLANO PUEDE TENER HASTA 500 RENGLONES</t>
      </text>
    </comment>
    <comment ref="C2" authorId="4" shapeId="0" xr:uid="{03ECC813-9209-4824-ACF2-9B52117F8A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ULTIMO DIA DEL MES</t>
      </text>
    </comment>
    <comment ref="D2" authorId="5" shapeId="0" xr:uid="{47E4DB98-47C8-4677-80AD-631602CC40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SERA COP</t>
      </text>
    </comment>
    <comment ref="F2" authorId="6" shapeId="0" xr:uid="{B749DA0C-34D2-476C-AEDC-539824C14B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SUELDO BASE</t>
      </text>
    </comment>
    <comment ref="G2" authorId="7" shapeId="0" xr:uid="{454F9604-4C77-46CA-AC90-74CF23A065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DEL EMPLEADO, SOLO NUMEROS</t>
      </text>
    </comment>
    <comment ref="V2" authorId="8" shapeId="0" xr:uid="{500E3E20-54C3-4C80-829B-D049356356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DEL IBC</t>
      </text>
    </comment>
    <comment ref="F3" authorId="9" shapeId="0" xr:uid="{BF25DF8A-BABB-4FA7-BA40-6FAE678A6A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NO SALARIAL LEY 1393/2010 </t>
      </text>
    </comment>
    <comment ref="V3" authorId="10" shapeId="0" xr:uid="{55FC8074-59DB-4D16-BBE0-18E16663E5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40% DEL IBC, REDONDEAR EN MILES HACIA ABAJO.
ESTE RENGLON SERIA OPCIONAL.</t>
      </text>
    </comment>
    <comment ref="F4" authorId="11" shapeId="0" xr:uid="{3A502C20-1864-4FC6-8EA4-4B71DECC0B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PATRONAL DE TRANSPORTE </t>
      </text>
    </comment>
    <comment ref="V4" authorId="12" shapeId="0" xr:uid="{69611B54-B296-4230-9821-724F4855EE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DIAS COT MULTIPLICADO POR 8,303.17.
EL VALOR DE 8,303.17 VARIA CADA AÑO (1RO DE ENERO).</t>
      </text>
    </comment>
    <comment ref="F5" authorId="13" shapeId="0" xr:uid="{A30A47DB-C8A7-487C-B5EF-49F76671DA6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EPS POR PAGAR </t>
      </text>
    </comment>
    <comment ref="W5" authorId="14" shapeId="0" xr:uid="{47C93531-AB6E-4FE1-AFE1-D5A55955CE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4% DEL IBC DE SALUD, REDONDEAR EN CENTENAS HACIA ARRIBA.</t>
      </text>
    </comment>
    <comment ref="F6" authorId="15" shapeId="0" xr:uid="{5B773DD1-26FA-4621-A99D-3783D99AA4E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AFP POR PAGAR </t>
      </text>
    </comment>
    <comment ref="W6" authorId="16" shapeId="0" xr:uid="{54347A69-665B-4EE1-9516-1077304100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4% DEL IBC DE PENSION, REDONDEAR EN CENTENAS HACIA ARRIBA.</t>
      </text>
    </comment>
    <comment ref="F7" authorId="17" shapeId="0" xr:uid="{876B642A-4655-4F2F-B31D-7C015FC7E5B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NOMINA POR PAGAR </t>
      </text>
    </comment>
    <comment ref="W7" authorId="18" shapeId="0" xr:uid="{87C7C23F-C30F-4B99-B7DA-6B128264A1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+ NOSALARIAL + AUX TRANSPORTE - APORTES SALUD - APORTES PENSION</t>
      </text>
    </comment>
    <comment ref="F8" authorId="19" shapeId="0" xr:uid="{00F3537D-E4D1-4B15-92B0-D00D1A3340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PENSION - AFP </t>
      </text>
    </comment>
    <comment ref="V8" authorId="20" shapeId="0" xr:uid="{98EA91EC-A9E5-4EE7-9EBE-4F1A625242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12% DEL IBC DE PENSION</t>
      </text>
    </comment>
    <comment ref="F9" authorId="21" shapeId="0" xr:uid="{95B80BA1-1302-4273-A6CD-DD4E11A90E4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AFP POR PAGAR </t>
      </text>
    </comment>
    <comment ref="G9" authorId="22" shapeId="0" xr:uid="{765B09C3-CF22-42FA-AB12-B061F27B49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NIT DE LA EMPRESA</t>
      </text>
    </comment>
    <comment ref="W9" authorId="23" shapeId="0" xr:uid="{25160172-57B1-4E7E-BF69-205E6801A8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V8</t>
      </text>
    </comment>
    <comment ref="V10" authorId="24" shapeId="0" xr:uid="{1C00C3DE-EC3E-4A70-B2D5-A81A57561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AL TOTAL APORTE ARP DE LA PLANILLA</t>
      </text>
    </comment>
    <comment ref="F11" authorId="25" shapeId="0" xr:uid="{43B1388E-33D2-474A-8B5B-2197903BCA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ARL POR PAGAR </t>
      </text>
    </comment>
    <comment ref="G11" authorId="26" shapeId="0" xr:uid="{715EF5C1-5386-4EBA-AB58-DB9CFE4F9B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EMPRESA SIEMPRE MANEJA SU ARP (O ARL), EN CONFIGURACION PODRIA PREGUNTAR ARL DE LA EMPRESA PARA Q SIEMPRE MANEJE EL MISMO NIT</t>
      </text>
    </comment>
    <comment ref="W11" authorId="27" shapeId="0" xr:uid="{AC7EE00C-039D-4518-AD89-C7590A976A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CEDLA V10</t>
      </text>
    </comment>
    <comment ref="V12" authorId="28" shapeId="0" xr:uid="{D20843E9-5B24-466A-AB4E-83505CC039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AL TOTAL APORTE CCF DE LA PLANILLA</t>
      </text>
    </comment>
    <comment ref="F13" authorId="29" shapeId="0" xr:uid="{4B3AA4F8-F649-4844-BB40-8C8C191AEAF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CCF POR PAGAR </t>
      </text>
    </comment>
    <comment ref="G13" authorId="30" shapeId="0" xr:uid="{21D134CC-2377-4360-8A6B-0EB0692A20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EMPRESA SIEMPRE MANEJA SU CCF (CAJA COMPENSACION FAMILIAR), EN CONFIGURACION PODRIA PREGUNTAR CCF DE LA EMPRESA PARA Q SIEMPRE MANEJE LA MISMO NIT
</t>
      </text>
    </comment>
    <comment ref="W13" authorId="31" shapeId="0" xr:uid="{3C4FC309-5C4D-4CF7-BCF7-DFA142FCB3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CEDLA V12</t>
      </text>
    </comment>
    <comment ref="F14" authorId="32" shapeId="0" xr:uid="{657903C6-8062-48B0-8E0B-D913252A48E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DE CESANTIAS </t>
      </text>
    </comment>
    <comment ref="V14" authorId="33" shapeId="0" xr:uid="{0D8C495D-DF3F-42CF-B2B1-940B7D502C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(CELDA V2) + AUX TRANSPORTE (CELDA V4) MULTIPLICADO POR EL 8.33%.
PUEDE OCURRIR Q EN ALGUNOS CASOS SE INCLUYA LOS PAGOS NO SALARIALES (CELDA V3)</t>
      </text>
    </comment>
    <comment ref="F15" authorId="34" shapeId="0" xr:uid="{A2B4CE99-6F99-4205-A142-CFCA9AE610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DE CESANTIAS POR PAGAR</t>
      </text>
    </comment>
    <comment ref="W15" authorId="35" shapeId="0" xr:uid="{9B53C93E-7431-49D0-B41E-D629395E35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V14</t>
      </text>
    </comment>
    <comment ref="F16" authorId="36" shapeId="0" xr:uid="{B0F83F7A-E0C6-4803-9AB1-7460B12A3F3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INTERESES DE CESANTIAS </t>
      </text>
    </comment>
    <comment ref="V16" authorId="37" shapeId="0" xr:uid="{B495DCDA-2702-4C9B-B9FD-29473DCE44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CELDA V14 POR EL 12%</t>
      </text>
    </comment>
    <comment ref="F17" authorId="38" shapeId="0" xr:uid="{B3F8193E-B6CC-4F26-B7E1-680D53A9AC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INTERESES DE CESANTIAS POR PAGAR</t>
      </text>
    </comment>
    <comment ref="W17" authorId="39" shapeId="0" xr:uid="{513756C8-D7B0-4C83-B601-763183726B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V16</t>
      </text>
    </comment>
    <comment ref="F18" authorId="40" shapeId="0" xr:uid="{1A74E7B5-D735-480C-8027-6EC31BCA63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PRIMA DE SERVICIOS </t>
      </text>
    </comment>
    <comment ref="V18" authorId="41" shapeId="0" xr:uid="{002A2EAF-9700-4064-B73E-7896CB44D7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V14</t>
      </text>
    </comment>
    <comment ref="F19" authorId="42" shapeId="0" xr:uid="{B42A80CB-90F4-4715-AA32-856423A91B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PRIMA DE SERVICIOS POR PAGAR</t>
      </text>
    </comment>
    <comment ref="W19" authorId="43" shapeId="0" xr:uid="{83E3FD6A-072A-4441-9490-96002F36F0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V18</t>
      </text>
    </comment>
    <comment ref="F20" authorId="44" shapeId="0" xr:uid="{C4049B2F-7BBD-4872-86A3-942D0C698D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</t>
      </text>
    </comment>
    <comment ref="V20" authorId="45" shapeId="0" xr:uid="{46C2AEE3-A8C5-445F-8AF0-C498F5D8200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(CELDA V2) MULTIPLICADO POR EL 4.17%.
PUEDE OCURRIR Q EN ALGUNOS CASOS SE INCLUYA LOS PAGOS NO SALARIALES (CELDA V3)
</t>
      </text>
    </comment>
    <comment ref="F21" authorId="46" shapeId="0" xr:uid="{65A074E4-C422-4BA2-B798-0EA2D5C434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CONSOLIDADAS POR PAGAR</t>
      </text>
    </comment>
    <comment ref="W21" authorId="47" shapeId="0" xr:uid="{398282EA-D0BB-4CE2-8160-575AEDD2FE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V20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tc={A2D2B287-99C2-4997-976E-6253B7635E7B}</author>
    <author>tc={263949CA-C70B-44B1-B1B3-1D7751AA172A}</author>
    <author>tc={4BEDBA57-317D-4F91-BF61-42A8F3EAC287}</author>
    <author>tc={1CCDCBC1-1DD7-4F8B-B058-45F55DDFCBAF}</author>
    <author>tc={72468856-1273-46AC-AC87-6044BB304753}</author>
    <author>tc={57B0938E-EEC0-44AA-8E78-905A0CE23FCE}</author>
    <author>tc={EF78BD37-5DD7-482C-AA20-FC7E227288D9}</author>
    <author>tc={A91A0858-AFD2-4908-AC2F-B649004DF83B}</author>
    <author>tc={2D5E5328-B4F7-4434-B94C-AB577D8CAA18}</author>
    <author>tc={E11AFBB0-6594-408F-B947-3F0E0B79B1BD}</author>
    <author>tc={69FAE274-C1F1-4CEE-9B92-9F0E1CCA86B7}</author>
    <author>tc={57D91A2E-C2B8-4621-8C6E-AE66C673ABA9}</author>
    <author>tc={DCADA794-9A16-4467-AB54-43923838D48F}</author>
    <author>tc={145CAD87-F9AE-44D2-91E6-72DFFD4A0C0B}</author>
    <author>tc={BCAB1D76-4AF2-48FA-B96B-64E581D66A1A}</author>
    <author>tc={870FB66A-2001-47BC-8984-6C2BD9E0239A}</author>
    <author>tc={A3359CF4-A9E7-4E74-ADF1-A35A5B10916F}</author>
    <author>tc={90A37B2E-B94F-4421-8304-4B3EE8B47098}</author>
    <author>tc={EF1DE99C-AFC5-4AF3-B94A-36B974B93D71}</author>
    <author>tc={352195BE-645A-4C05-B606-88B26B0504FB}</author>
    <author>tc={135BDAE2-42CE-40BE-BB68-578AC61F337B}</author>
    <author>tc={7BA1DAB8-A339-4441-B5CD-075DBCB00B86}</author>
    <author>tc={CF102582-B000-40EF-8B70-B0E750FC58BA}</author>
    <author>tc={059AC7EC-E5BE-4E7A-A073-94DD5A840225}</author>
    <author>tc={FA4FFDCE-765E-4B74-BBAC-17305A2C4DE2}</author>
    <author>tc={07D33F75-8264-415A-93A0-F61C9FEF26D6}</author>
    <author>tc={8FACAD2F-6451-4FCD-AEBF-BFB7B8938A71}</author>
    <author>tc={66DA4A7B-AB6E-4524-AC2D-6AFBA8718D6D}</author>
    <author>tc={66FF44C5-E2C5-49C9-B7A0-66AD9787497B}</author>
    <author>tc={F003ED95-B79B-4EE9-BD76-3AA8008AC262}</author>
    <author>tc={84EF2490-01E8-4548-9EA2-0774D7A23E5C}</author>
    <author>tc={0A5C403A-9EDC-41B9-BE22-BD7CEDE51D50}</author>
    <author>tc={71DF0C2C-9493-435F-B799-EA9031200235}</author>
    <author>tc={AA6D5581-2B40-437A-9BBF-ABC05AB368CF}</author>
    <author>tc={0916DA9C-5806-4009-98B9-6CA46E6369A7}</author>
    <author>tc={83C38B02-3F04-42FF-AD33-A45D2D5209E4}</author>
    <author>tc={385C5BD1-8C81-4DC4-840E-B9CC4245166C}</author>
    <author>tc={B2001108-F761-4A47-ACC0-80EDAC44CE80}</author>
    <author>tc={9F7977C4-2AAE-41AD-9952-A3545D507EA3}</author>
    <author>tc={A8F811AE-7F83-4127-A43F-9899A9C97EA5}</author>
    <author>tc={DE9F8B67-6C18-452C-A2A3-A7D9A65CC766}</author>
    <author>tc={F9B29EC8-7144-436E-9EDF-ECC83FD5C706}</author>
    <author>tc={7F12A715-F5F6-4661-9754-DE37D1F3BC2A}</author>
    <author>tc={40D7EBA4-87FC-43B9-8576-5BA08E664CDA}</author>
    <author>tc={F4312785-4A2C-4563-BD50-0CE4E5F0D06A}</author>
    <author>tc={5D1A2C1D-AC0E-450B-9D87-A66B8C97B603}</author>
    <author>tc={FF49EF37-9847-4B0A-BA51-F879F370331F}</author>
    <author>tc={F6BC5F5E-F85D-4E91-A88F-4B74D8578B16}</author>
  </authors>
  <commentList>
    <comment ref="V1" authorId="0" shapeId="0" xr:uid="{A2D2B287-99C2-4997-976E-6253B7635E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NUMEROS ENTEROS</t>
      </text>
    </comment>
    <comment ref="W1" authorId="1" shapeId="0" xr:uid="{263949CA-C70B-44B1-B1B3-1D7751AA17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SOLO NUMEROS ENTEROS</t>
      </text>
    </comment>
    <comment ref="A2" authorId="2" shapeId="0" xr:uid="{4BEDBA57-317D-4F91-BF61-42A8F3EAC2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SERA EL 8</t>
      </text>
    </comment>
    <comment ref="B2" authorId="3" shapeId="0" xr:uid="{1CCDCBC1-1DD7-4F8B-B058-45F55DDFCB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UN CONSECUTIVO POR EMPLEADO; 
EL PLANO PUEDE TENER HASTA 500 RENGLONES</t>
      </text>
    </comment>
    <comment ref="C2" authorId="4" shapeId="0" xr:uid="{72468856-1273-46AC-AC87-6044BB3047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ULTIMO DIA DEL MES</t>
      </text>
    </comment>
    <comment ref="D2" authorId="5" shapeId="0" xr:uid="{57B0938E-EEC0-44AA-8E78-905A0CE23F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SERA COP</t>
      </text>
    </comment>
    <comment ref="F2" authorId="6" shapeId="0" xr:uid="{EF78BD37-5DD7-482C-AA20-FC7E227288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SUELDO BASE</t>
      </text>
    </comment>
    <comment ref="G2" authorId="7" shapeId="0" xr:uid="{A91A0858-AFD2-4908-AC2F-B649004DF8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DEL EMPLEADO, SOLO NUMEROS</t>
      </text>
    </comment>
    <comment ref="V2" authorId="8" shapeId="0" xr:uid="{2D5E5328-B4F7-4434-B94C-AB577D8CAA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VALOR DEL IBC</t>
      </text>
    </comment>
    <comment ref="F3" authorId="9" shapeId="0" xr:uid="{E11AFBB0-6594-408F-B947-3F0E0B79B1B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NO SALARIAL LEY 1393/2010 </t>
      </text>
    </comment>
    <comment ref="V3" authorId="10" shapeId="0" xr:uid="{69FAE274-C1F1-4CEE-9B92-9F0E1CCA86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40% DEL IBC, REDONDEAR EN MILES HACIA ABAJO.
ESTE RENGLON SERIA OPCIONAL.</t>
      </text>
    </comment>
    <comment ref="F4" authorId="11" shapeId="0" xr:uid="{57D91A2E-C2B8-4621-8C6E-AE66C673ABA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PATRONAL DE TRANSPORTE </t>
      </text>
    </comment>
    <comment ref="V4" authorId="12" shapeId="0" xr:uid="{DCADA794-9A16-4467-AB54-43923838D4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DIAS COT MULTIPLICADO POR 8,303.17.
EL VALOR DE 8,303.17 VARIA CADA AÑO (1RO DE ENERO).</t>
      </text>
    </comment>
    <comment ref="F5" authorId="13" shapeId="0" xr:uid="{145CAD87-F9AE-44D2-91E6-72DFFD4A0C0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EPS POR PAGAR </t>
      </text>
    </comment>
    <comment ref="W5" authorId="14" shapeId="0" xr:uid="{BCAB1D76-4AF2-48FA-B96B-64E581D66A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4% DEL IBC DE SALUD, REDONDEAR EN CENTENAS HACIA ARRIBA.</t>
      </text>
    </comment>
    <comment ref="F6" authorId="15" shapeId="0" xr:uid="{870FB66A-2001-47BC-8984-6C2BD9E0239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AFP POR PAGAR </t>
      </text>
    </comment>
    <comment ref="W6" authorId="16" shapeId="0" xr:uid="{A3359CF4-A9E7-4E74-ADF1-A35A5B1091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4% DEL IBC DE PENSION, REDONDEAR EN CENTENAS HACIA ARRIBA.</t>
      </text>
    </comment>
    <comment ref="F7" authorId="17" shapeId="0" xr:uid="{90A37B2E-B94F-4421-8304-4B3EE8B470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NOMINA POR PAGAR </t>
      </text>
    </comment>
    <comment ref="W7" authorId="18" shapeId="0" xr:uid="{EF1DE99C-AFC5-4AF3-B94A-36B974B93D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+ NOSALARIAL + AUX TRANSPORTE - APORTES SALUD - APORTES PENSION</t>
      </text>
    </comment>
    <comment ref="F8" authorId="19" shapeId="0" xr:uid="{352195BE-645A-4C05-B606-88B26B0504F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PENSION - AFP </t>
      </text>
    </comment>
    <comment ref="V8" authorId="20" shapeId="0" xr:uid="{135BDAE2-42CE-40BE-BB68-578AC61F33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12% DEL IBC DE PENSION</t>
      </text>
    </comment>
    <comment ref="F9" authorId="21" shapeId="0" xr:uid="{7BA1DAB8-A339-4441-B5CD-075DBCB00B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AFP POR PAGAR </t>
      </text>
    </comment>
    <comment ref="G9" authorId="22" shapeId="0" xr:uid="{CF102582-B000-40EF-8B70-B0E750FC58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NIT DE LA EMPRESA</t>
      </text>
    </comment>
    <comment ref="W9" authorId="23" shapeId="0" xr:uid="{059AC7EC-E5BE-4E7A-A073-94DD5A840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V8</t>
      </text>
    </comment>
    <comment ref="V10" authorId="24" shapeId="0" xr:uid="{FA4FFDCE-765E-4B74-BBAC-17305A2C4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AL TOTAL APORTE ARP DE LA PLANILLA</t>
      </text>
    </comment>
    <comment ref="F11" authorId="25" shapeId="0" xr:uid="{07D33F75-8264-415A-93A0-F61C9FEF26D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ARL POR PAGAR </t>
      </text>
    </comment>
    <comment ref="G11" authorId="26" shapeId="0" xr:uid="{8FACAD2F-6451-4FCD-AEBF-BFB7B8938A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EMPRESA SIEMPRE MANEJA SU ARP (O ARL), EN CONFIGURACION PODRIA PREGUNTAR ARL DE LA EMPRESA PARA Q SIEMPRE MANEJE EL MISMO NIT</t>
      </text>
    </comment>
    <comment ref="W11" authorId="27" shapeId="0" xr:uid="{66DA4A7B-AB6E-4524-AC2D-6AFBA8718D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CEDLA V10</t>
      </text>
    </comment>
    <comment ref="V12" authorId="28" shapeId="0" xr:uid="{66FF44C5-E2C5-49C9-B7A0-66AD978749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AL TOTAL APORTE CCF DE LA PLANILLA</t>
      </text>
    </comment>
    <comment ref="F13" authorId="29" shapeId="0" xr:uid="{F003ED95-B79B-4EE9-BD76-3AA8008AC26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APORTES CCF POR PAGAR </t>
      </text>
    </comment>
    <comment ref="G13" authorId="30" shapeId="0" xr:uid="{84EF2490-01E8-4548-9EA2-0774D7A23E5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CADA EMPRESA SIEMPRE MANEJA SU CCF (CAJA COMPENSACION FAMILIAR), EN CONFIGURACION PODRIA PREGUNTAR CCF DE LA EMPRESA PARA Q SIEMPRE MANEJE LA MISMO NIT
</t>
      </text>
    </comment>
    <comment ref="W13" authorId="31" shapeId="0" xr:uid="{0A5C403A-9EDC-41B9-BE22-BD7CEDE51D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CEDLA V12</t>
      </text>
    </comment>
    <comment ref="F14" authorId="32" shapeId="0" xr:uid="{71DF0C2C-9493-435F-B799-EA90312002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DE CESANTIAS </t>
      </text>
    </comment>
    <comment ref="V14" authorId="33" shapeId="0" xr:uid="{AA6D5581-2B40-437A-9BBF-ABC05AB368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(CELDA V2) + AUX TRANSPORTE (CELDA V4) MULTIPLICADO POR EL 8.33%.
PUEDE OCURRIR Q EN ALGUNOS CASOS SE INCLUYA LOS PAGOS NO SALARIALES (CELDA V3)</t>
      </text>
    </comment>
    <comment ref="F15" authorId="34" shapeId="0" xr:uid="{0916DA9C-5806-4009-98B9-6CA46E6369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AUXILIO DE CESANTIAS POR PAGAR</t>
      </text>
    </comment>
    <comment ref="W15" authorId="35" shapeId="0" xr:uid="{83C38B02-3F04-42FF-AD33-A45D2D5209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V14</t>
      </text>
    </comment>
    <comment ref="F16" authorId="36" shapeId="0" xr:uid="{385C5BD1-8C81-4DC4-840E-B9CC4245166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INTERESES DE CESANTIAS </t>
      </text>
    </comment>
    <comment ref="V16" authorId="37" shapeId="0" xr:uid="{B2001108-F761-4A47-ACC0-80EDAC44CE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CELDA V14 POR EL 12%</t>
      </text>
    </comment>
    <comment ref="F17" authorId="38" shapeId="0" xr:uid="{9F7977C4-2AAE-41AD-9952-A3545D507E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INTERESES DE CESANTIAS POR PAGAR</t>
      </text>
    </comment>
    <comment ref="W17" authorId="39" shapeId="0" xr:uid="{A8F811AE-7F83-4127-A43F-9899A9C97E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V16</t>
      </text>
    </comment>
    <comment ref="F18" authorId="40" shapeId="0" xr:uid="{DE9F8B67-6C18-452C-A2A3-A7D9A65CC76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PRIMA DE SERVICIOS </t>
      </text>
    </comment>
    <comment ref="V18" authorId="41" shapeId="0" xr:uid="{F9B29EC8-7144-436E-9EDF-ECC83FD5C7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V14</t>
      </text>
    </comment>
    <comment ref="F19" authorId="42" shapeId="0" xr:uid="{7F12A715-F5F6-4661-9754-DE37D1F3BC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PRIMA DE SERVICIOS POR PAGAR</t>
      </text>
    </comment>
    <comment ref="W19" authorId="43" shapeId="0" xr:uid="{40D7EBA4-87FC-43B9-8576-5BA08E664C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V18</t>
      </text>
    </comment>
    <comment ref="F20" authorId="44" shapeId="0" xr:uid="{F4312785-4A2C-4563-BD50-0CE4E5F0D06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</t>
      </text>
    </comment>
    <comment ref="V20" authorId="45" shapeId="0" xr:uid="{5D1A2C1D-AC0E-450B-9D87-A66B8C97B60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IBC (CELDA V2) MULTIPLICADO POR EL 4.17%.
PUEDE OCURRIR Q EN ALGUNOS CASOS SE INCLUYA LOS PAGOS NO SALARIALES (CELDA V3)
</t>
      </text>
    </comment>
    <comment ref="F21" authorId="46" shapeId="0" xr:uid="{FF49EF37-9847-4B0A-BA51-F879F37033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VACACIONES CONSOLIDADAS POR PAGAR</t>
      </text>
    </comment>
    <comment ref="W21" authorId="47" shapeId="0" xr:uid="{F6BC5F5E-F85D-4E91-A88F-4B74D8578B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IGUAL A LA CELDA V20</t>
      </text>
    </comment>
  </commentList>
</comments>
</file>

<file path=xl/sharedStrings.xml><?xml version="1.0" encoding="utf-8"?>
<sst xmlns="http://schemas.openxmlformats.org/spreadsheetml/2006/main" count="332" uniqueCount="32">
  <si>
    <t>Tipo de comprobante</t>
  </si>
  <si>
    <t>Consecutivo comprobante</t>
  </si>
  <si>
    <t xml:space="preserve">Fecha de elaboración </t>
  </si>
  <si>
    <t>Sigla moneda</t>
  </si>
  <si>
    <t>Tasa de cambio</t>
  </si>
  <si>
    <t>Código cuenta contable</t>
  </si>
  <si>
    <t>Identificación tercero</t>
  </si>
  <si>
    <t>Sucursal</t>
  </si>
  <si>
    <t>Código producto</t>
  </si>
  <si>
    <t>Código de bodega</t>
  </si>
  <si>
    <t>Acción</t>
  </si>
  <si>
    <t>Cantidad producto</t>
  </si>
  <si>
    <t>Prefijo</t>
  </si>
  <si>
    <t>Consecutivo</t>
  </si>
  <si>
    <t>No. cuota</t>
  </si>
  <si>
    <t>Fecha vencimiento</t>
  </si>
  <si>
    <t>Código impuesto</t>
  </si>
  <si>
    <t>Código grupo activo fijo</t>
  </si>
  <si>
    <t>Código activo fijo</t>
  </si>
  <si>
    <t>Descripción</t>
  </si>
  <si>
    <t>Código centro/subcentro de costos</t>
  </si>
  <si>
    <t>Débito</t>
  </si>
  <si>
    <t>Crédito</t>
  </si>
  <si>
    <t>Observaciones</t>
  </si>
  <si>
    <t xml:space="preserve">Base gravable libro compras/ventas  </t>
  </si>
  <si>
    <t>Base exenta libro compras/ventas</t>
  </si>
  <si>
    <t>Mes de cierre</t>
  </si>
  <si>
    <t>COP</t>
  </si>
  <si>
    <t/>
  </si>
  <si>
    <t>NOMINA</t>
  </si>
  <si>
    <t>SEGURIDAD SOCIAL</t>
  </si>
  <si>
    <t>PRESTACIONES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</si>
</sst>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es Gomez" id="{96B86E82-C912-4168-8DBB-3A01D870D9AA}" userId="6f77e260fcd8220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8-21T02:18:28.63" personId="{96B86E82-C912-4168-8DBB-3A01D870D9AA}" id="{AC829DE1-5BF2-4DE3-9E19-7699D295A47C}">
    <text>EL INICIO 52 PUEDE VARIAR DEPENDIENDO DEL EMPLEADO
51 - ADMINISTRATIVOS
52 - OPERACIONALES (VENTAS)
72 - PRODUCCION</text>
  </threadedComment>
  <threadedComment ref="V1" dT="2026-08-21T01:39:42.98" personId="{96B86E82-C912-4168-8DBB-3A01D870D9AA}" id="{0BCCC862-07E2-42E4-9A47-173D20F0BCE7}">
    <text>SOLO NUMEROS ENTEROS</text>
  </threadedComment>
  <threadedComment ref="W1" dT="2026-08-21T01:39:55.69" personId="{96B86E82-C912-4168-8DBB-3A01D870D9AA}" id="{4D9FF830-549F-4F3D-953A-7C6A979362E5}">
    <text>SOLO NUMEROS ENTEROS</text>
  </threadedComment>
  <threadedComment ref="A2" dT="2026-08-21T01:25:24.89" personId="{96B86E82-C912-4168-8DBB-3A01D870D9AA}" id="{B75821D9-A384-4429-8504-726B7A8369F2}">
    <text>SIEMPRE SERA EL 8</text>
  </threadedComment>
  <threadedComment ref="B2" dT="2026-08-21T01:25:59.92" personId="{96B86E82-C912-4168-8DBB-3A01D870D9AA}" id="{1564CE8E-2763-420E-BB5D-7BEB824A74CC}">
    <text>ES UN CONSECUTIVO POR EMPLEADO; 
EL PLANO PUEDE TENER HASTA 500 RENGLONES</text>
  </threadedComment>
  <threadedComment ref="C2" dT="2026-08-21T01:31:15.87" personId="{96B86E82-C912-4168-8DBB-3A01D870D9AA}" id="{E10E6A2B-29D4-449B-8C40-C8491B04BDF5}">
    <text>EL ULTIMO DIA DEL MES</text>
  </threadedComment>
  <threadedComment ref="D2" dT="2026-08-21T01:31:27.05" personId="{96B86E82-C912-4168-8DBB-3A01D870D9AA}" id="{AA18C951-9861-4F3D-B006-91ADE1C49ECF}">
    <text>SIEMPRE SERA COP</text>
  </threadedComment>
  <threadedComment ref="F2" dT="2026-08-21T01:37:38.56" personId="{96B86E82-C912-4168-8DBB-3A01D870D9AA}" id="{741152A2-0DD5-4DE6-B5BB-608DD3DC3E70}">
    <text>SUELDO BASE</text>
  </threadedComment>
  <threadedComment ref="G2" dT="2026-08-21T01:32:57.63" personId="{96B86E82-C912-4168-8DBB-3A01D870D9AA}" id="{CD44B7F9-3368-4E10-9AC3-FA54C7E54364}">
    <text>CC DEL EMPLEADO, SOLO NUMEROS</text>
  </threadedComment>
  <threadedComment ref="V2" dT="2026-08-21T01:34:04.73" personId="{96B86E82-C912-4168-8DBB-3A01D870D9AA}" id="{C7CEBA84-08F8-42AA-9E84-6A34D9F6E305}">
    <text>EL VALOR DEL IBC</text>
  </threadedComment>
  <threadedComment ref="F3" dT="2026-08-21T01:37:47.75" personId="{96B86E82-C912-4168-8DBB-3A01D870D9AA}" id="{4B6B9028-D806-443B-B53A-25FF103D9A3E}">
    <text xml:space="preserve">PAGO NO SALARIAL LEY 1393/2010 </text>
  </threadedComment>
  <threadedComment ref="V3" dT="2026-08-21T01:36:56.78" personId="{96B86E82-C912-4168-8DBB-3A01D870D9AA}" id="{DCDB9164-E050-4DBB-81BA-22133FD8549A}">
    <text>EL 40% DEL IBC, REDONDEAR EN MILES HACIA ABAJO.
ESTE RENGLON SERIA OPCIONAL.</text>
  </threadedComment>
  <threadedComment ref="F4" dT="2026-08-21T01:38:20.21" personId="{96B86E82-C912-4168-8DBB-3A01D870D9AA}" id="{6DFB9DCF-8DE7-4F9C-97F1-D6BA78993828}">
    <text xml:space="preserve">AUXILIO PATRONAL DE TRANSPORTE </text>
  </threadedComment>
  <threadedComment ref="V4" dT="2026-08-21T01:40:32.62" personId="{96B86E82-C912-4168-8DBB-3A01D870D9AA}" id="{282BE783-38D9-4AEE-8FEE-C31D1FB5FD70}">
    <text>DIAS COT MULTIPLICADO POR 8,303.17.
EL VALOR DE 8,303.17 VARIA CADA AÑO (1RO DE ENERO).</text>
  </threadedComment>
  <threadedComment ref="F5" dT="2026-08-21T01:43:11.77" personId="{96B86E82-C912-4168-8DBB-3A01D870D9AA}" id="{8F168956-9DEA-467F-8267-4D3DE0AFFFB0}">
    <text xml:space="preserve">APORTES EPS POR PAGAR </text>
  </threadedComment>
  <threadedComment ref="W5" dT="2026-08-21T01:46:47.81" personId="{96B86E82-C912-4168-8DBB-3A01D870D9AA}" id="{4A9351C7-BD0C-47E2-8A4F-6600D8E71AEB}">
    <text>EL 4% DEL IBC DE SALUD, REDONDEAR EN CENTENAS HACIA ARRIBA.</text>
  </threadedComment>
  <threadedComment ref="F6" dT="2026-08-21T01:47:06.02" personId="{96B86E82-C912-4168-8DBB-3A01D870D9AA}" id="{FCF2E000-276B-4FB3-8C79-A56C1AB65A2B}">
    <text xml:space="preserve">APORTES AFP POR PAGAR </text>
  </threadedComment>
  <threadedComment ref="W6" dT="2026-08-21T01:46:47.81" personId="{96B86E82-C912-4168-8DBB-3A01D870D9AA}" id="{F9686144-B112-4CAC-AE45-1230778621AE}">
    <text>EL 4% DEL IBC DE PENSION, REDONDEAR EN CENTENAS HACIA ARRIBA.</text>
  </threadedComment>
  <threadedComment ref="F7" dT="2026-08-21T01:50:59.07" personId="{96B86E82-C912-4168-8DBB-3A01D870D9AA}" id="{306D68B4-C40B-4480-B7BF-68E26F42E3E6}">
    <text xml:space="preserve">NOMINA POR PAGAR </text>
  </threadedComment>
  <threadedComment ref="W7" dT="2026-08-21T01:48:37.94" personId="{96B86E82-C912-4168-8DBB-3A01D870D9AA}" id="{8CD2A16E-0E37-43A5-B3EF-AB280BD7699E}">
    <text>IBC + NOSALARIAL + AUX TRANSPORTE - APORTES SALUD - APORTES PENSION</text>
  </threadedComment>
  <threadedComment ref="F8" dT="2026-08-21T01:51:11.98" personId="{96B86E82-C912-4168-8DBB-3A01D870D9AA}" id="{54A253F1-2716-40C6-A9FB-650605479213}">
    <text xml:space="preserve">APORTES PENSION - AFP </text>
  </threadedComment>
  <threadedComment ref="V8" dT="2026-08-21T01:53:22.89" personId="{96B86E82-C912-4168-8DBB-3A01D870D9AA}" id="{C54BDE0E-8E39-4F93-9FCA-6F023DAAEB23}">
    <text>EL 12% DEL IBC DE PENSION</text>
  </threadedComment>
  <threadedComment ref="F9" dT="2026-08-21T01:53:46.56" personId="{96B86E82-C912-4168-8DBB-3A01D870D9AA}" id="{3361B38B-DF9B-45A5-863D-F75ECC4E5F70}">
    <text xml:space="preserve">APORTES AFP POR PAGAR </text>
  </threadedComment>
  <threadedComment ref="G9" dT="2026-08-21T02:03:56.12" personId="{96B86E82-C912-4168-8DBB-3A01D870D9AA}" id="{45C3F189-83F1-4D71-829F-3C69A825FAD6}">
    <text>NIT DE LA EMPRESA</text>
  </threadedComment>
  <threadedComment ref="W9" dT="2026-08-21T01:56:49.97" personId="{96B86E82-C912-4168-8DBB-3A01D870D9AA}" id="{990C18E5-C782-4842-A4DC-47F7D6019942}">
    <text>DEBE SER IGUAL A LA CELDA V8</text>
  </threadedComment>
  <threadedComment ref="V10" dT="2026-08-21T01:57:11.05" personId="{96B86E82-C912-4168-8DBB-3A01D870D9AA}" id="{C966F1A9-267C-40E1-9B9E-ED5C81619523}">
    <text>DEBE SER IGUAL AL TOTAL APORTE ARP DE LA PLANILLA</text>
  </threadedComment>
  <threadedComment ref="F11" dT="2026-08-21T01:58:04.03" personId="{96B86E82-C912-4168-8DBB-3A01D870D9AA}" id="{F5997159-2487-404A-B14C-3EF5F5BB84FC}">
    <text xml:space="preserve">APORTES ARL POR PAGAR </text>
  </threadedComment>
  <threadedComment ref="G11" dT="2026-08-21T02:02:41.26" personId="{96B86E82-C912-4168-8DBB-3A01D870D9AA}" id="{C4E44BC6-7C08-4848-98A5-C02EE3E38AA9}">
    <text>CADA EMPRESA SIEMPRE MANEJA SU ARP (O ARL), EN CONFIGURACION PODRIA PREGUNTAR ARL DE LA EMPRESA PARA Q SIEMPRE MANEJE EL MISMO NIT</text>
  </threadedComment>
  <threadedComment ref="W11" dT="2026-08-21T01:57:37.09" personId="{96B86E82-C912-4168-8DBB-3A01D870D9AA}" id="{9018C4CF-9FA7-4568-8B3F-2763A05F8602}">
    <text>DEBE SER IGUAL A LA CEDLA V10</text>
  </threadedComment>
  <threadedComment ref="V12" dT="2026-08-21T02:04:59.37" personId="{96B86E82-C912-4168-8DBB-3A01D870D9AA}" id="{41826908-A3F2-4070-8518-AC3C2DC7EA63}">
    <text>DEBE SER IGUAL AL TOTAL APORTE CCF DE LA PLANILLA</text>
  </threadedComment>
  <threadedComment ref="F13" dT="2026-08-21T01:58:46.91" personId="{96B86E82-C912-4168-8DBB-3A01D870D9AA}" id="{C8A02070-01B4-49B7-B642-15DED5CF301C}">
    <text xml:space="preserve">APORTES CCF POR PAGAR </text>
  </threadedComment>
  <threadedComment ref="G13" dT="2026-08-21T02:03:15.29" personId="{96B86E82-C912-4168-8DBB-3A01D870D9AA}" id="{C84C22C2-C31D-4904-9BA6-2B4A12B41D4A}">
    <text xml:space="preserve">CADA EMPRESA SIEMPRE MANEJA SU CCF (CAJA COMPENSACION FAMILIAR), EN CONFIGURACION PODRIA PREGUNTAR CCF DE LA EMPRESA PARA Q SIEMPRE MANEJE LA MISMO NIT
</text>
  </threadedComment>
  <threadedComment ref="W13" dT="2026-08-21T02:04:35.93" personId="{96B86E82-C912-4168-8DBB-3A01D870D9AA}" id="{F4E8F075-BC2F-422C-A44A-A91775C1A13C}">
    <text>DEBE SER IGUAL A LA CEDLA V12</text>
  </threadedComment>
  <threadedComment ref="F14" dT="2026-08-21T02:05:52.50" personId="{96B86E82-C912-4168-8DBB-3A01D870D9AA}" id="{9AC942D9-FE1E-4D0C-B2B7-E166599417B9}">
    <text xml:space="preserve">AUXILIO DE CESANTIAS </text>
  </threadedComment>
  <threadedComment ref="V14" dT="2026-08-21T02:11:08.23" personId="{96B86E82-C912-4168-8DBB-3A01D870D9AA}" id="{372AD0C3-D3B6-446C-A0A4-DC4C93EFDD47}">
    <text>IBC (CELDA V2) + AUX TRANSPORTE (CELDA V4) MULTIPLICADO POR EL 8.33%.
PUEDE OCURRIR Q EN ALGUNOS CASOS SE INCLUYA LOS PAGOS NO SALARIALES (CELDA V3)</text>
  </threadedComment>
  <threadedComment ref="F15" dT="2026-08-21T02:08:18.16" personId="{96B86E82-C912-4168-8DBB-3A01D870D9AA}" id="{F2B3D55C-94A3-4A56-89C1-50DDEAB6EBB8}">
    <text>AUXILIO DE CESANTIAS POR PAGAR</text>
  </threadedComment>
  <threadedComment ref="W15" dT="2026-08-21T02:12:16.01" personId="{96B86E82-C912-4168-8DBB-3A01D870D9AA}" id="{59A2E9A2-3C72-451C-91DA-37F464CAD254}">
    <text>DEBE SER IGUAL A LA CELDA V14</text>
  </threadedComment>
  <threadedComment ref="F16" dT="2026-08-21T02:06:00.59" personId="{96B86E82-C912-4168-8DBB-3A01D870D9AA}" id="{1696E1D1-BC91-4FEE-B046-082923CCF0CB}">
    <text xml:space="preserve">INTERESES DE CESANTIAS </text>
  </threadedComment>
  <threadedComment ref="V16" dT="2026-08-21T02:11:47.64" personId="{96B86E82-C912-4168-8DBB-3A01D870D9AA}" id="{EE35ACAF-7A44-4B0A-B074-8C1592511A97}">
    <text>LA CELDA V14 POR EL 12%</text>
  </threadedComment>
  <threadedComment ref="F17" dT="2026-08-21T02:07:29.76" personId="{96B86E82-C912-4168-8DBB-3A01D870D9AA}" id="{47443453-8050-45DB-BAED-555FCAA851F2}">
    <text>INTERESES DE CESANTIAS POR PAGAR</text>
  </threadedComment>
  <threadedComment ref="W17" dT="2026-08-21T02:12:36.26" personId="{96B86E82-C912-4168-8DBB-3A01D870D9AA}" id="{E07039D9-23B7-4D20-8776-832F0819763A}">
    <text>DEBE SER IGUAL A LA CELDA V16</text>
  </threadedComment>
  <threadedComment ref="F18" dT="2026-08-21T02:06:08.61" personId="{96B86E82-C912-4168-8DBB-3A01D870D9AA}" id="{C97E767F-3523-42D9-9FFA-82051A396038}">
    <text xml:space="preserve">PRIMA DE SERVICIOS </text>
  </threadedComment>
  <threadedComment ref="V18" dT="2026-08-21T02:13:22.13" personId="{96B86E82-C912-4168-8DBB-3A01D870D9AA}" id="{74A923F9-5B82-45B7-8E40-CE2A6695FEE8}">
    <text>DEBE SER IGUAL A LA CELDA V14</text>
  </threadedComment>
  <threadedComment ref="F19" dT="2026-08-21T02:07:39.27" personId="{96B86E82-C912-4168-8DBB-3A01D870D9AA}" id="{9692F9FF-24BF-4803-A38A-1040427B4B0C}">
    <text>PRIMA DE SERVICIOS POR PAGAR</text>
  </threadedComment>
  <threadedComment ref="W19" dT="2026-08-21T02:13:47.57" personId="{96B86E82-C912-4168-8DBB-3A01D870D9AA}" id="{CF51F976-D597-4092-AD95-805E542B04D6}">
    <text>DEBE SER IGUAL A LA CELDA V18</text>
  </threadedComment>
  <threadedComment ref="F20" dT="2026-08-21T02:06:16.55" personId="{96B86E82-C912-4168-8DBB-3A01D870D9AA}" id="{2F99F423-6A16-45FD-AC57-0CDEF2FED4BE}">
    <text xml:space="preserve">VACACIONES </text>
  </threadedComment>
  <threadedComment ref="V20" dT="2026-08-21T02:14:15.40" personId="{96B86E82-C912-4168-8DBB-3A01D870D9AA}" id="{1F8B6815-3CD1-4AC4-8E3E-FBD9CF003AE3}">
    <text xml:space="preserve">IBC (CELDA V2) MULTIPLICADO POR EL 4.17%.
PUEDE OCURRIR Q EN ALGUNOS CASOS SE INCLUYA LOS PAGOS NO SALARIALES (CELDA V3)
</text>
  </threadedComment>
  <threadedComment ref="F21" dT="2026-08-21T02:08:30.96" personId="{96B86E82-C912-4168-8DBB-3A01D870D9AA}" id="{26495FD9-90CE-4D96-BD2C-7C287385965F}">
    <text>VACACIONES CONSOLIDADAS POR PAGAR</text>
  </threadedComment>
  <threadedComment ref="W21" dT="2026-08-21T02:14:41.40" personId="{96B86E82-C912-4168-8DBB-3A01D870D9AA}" id="{8D33F2CC-DB18-4352-B2B5-3C27E6E57FA2}">
    <text>DEBE SER IGUAL A LA CELDA V20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1" dT="2026-08-21T01:39:42.98" personId="{96B86E82-C912-4168-8DBB-3A01D870D9AA}" id="{5D92E8CA-CF2E-47EE-ABE1-731CC3F2B235}">
    <text>SOLO NUMEROS ENTEROS</text>
  </threadedComment>
  <threadedComment ref="W1" dT="2026-08-21T01:39:55.69" personId="{96B86E82-C912-4168-8DBB-3A01D870D9AA}" id="{1A6DA43F-563C-4988-819F-A9DF3AE4530C}">
    <text>SOLO NUMEROS ENTEROS</text>
  </threadedComment>
  <threadedComment ref="A2" dT="2026-08-21T01:25:24.89" personId="{96B86E82-C912-4168-8DBB-3A01D870D9AA}" id="{81BF6158-6BE3-4EEA-B9AD-FA553A319F84}">
    <text>SIEMPRE SERA EL 8</text>
  </threadedComment>
  <threadedComment ref="B2" dT="2026-08-21T01:25:59.92" personId="{96B86E82-C912-4168-8DBB-3A01D870D9AA}" id="{4BF5062B-9C2B-4F99-841D-88AD56E770CE}">
    <text>ES UN CONSECUTIVO POR EMPLEADO; 
EL PLANO PUEDE TENER HASTA 500 RENGLONES</text>
  </threadedComment>
  <threadedComment ref="C2" dT="2026-08-21T01:31:15.87" personId="{96B86E82-C912-4168-8DBB-3A01D870D9AA}" id="{989E5350-8E28-42CA-B238-B61604378AF4}">
    <text>EL ULTIMO DIA DEL MES</text>
  </threadedComment>
  <threadedComment ref="D2" dT="2026-08-21T01:31:27.05" personId="{96B86E82-C912-4168-8DBB-3A01D870D9AA}" id="{A8718A92-6E5F-4777-AB09-EE0577F5593C}">
    <text>SIEMPRE SERA COP</text>
  </threadedComment>
  <threadedComment ref="F2" dT="2026-08-21T01:37:38.56" personId="{96B86E82-C912-4168-8DBB-3A01D870D9AA}" id="{1545E393-9F65-43B3-A8DE-F1E6C342870E}">
    <text>SUELDO BASE</text>
  </threadedComment>
  <threadedComment ref="G2" dT="2026-08-21T01:32:57.63" personId="{96B86E82-C912-4168-8DBB-3A01D870D9AA}" id="{DC177561-F587-4185-A4BD-555B65E03EA2}">
    <text>CC DEL EMPLEADO, SOLO NUMEROS</text>
  </threadedComment>
  <threadedComment ref="V2" dT="2026-08-21T01:34:04.73" personId="{96B86E82-C912-4168-8DBB-3A01D870D9AA}" id="{07B0CAC8-3CBD-4C1E-B1DA-1722E25C16A3}">
    <text>EL VALOR DEL IBC</text>
  </threadedComment>
  <threadedComment ref="F3" dT="2026-08-21T01:37:47.75" personId="{96B86E82-C912-4168-8DBB-3A01D870D9AA}" id="{E9FB8DC8-E6C7-4284-B6B1-8354A016BCD9}">
    <text xml:space="preserve">PAGO NO SALARIAL LEY 1393/2010 </text>
  </threadedComment>
  <threadedComment ref="V3" dT="2026-08-21T01:36:56.78" personId="{96B86E82-C912-4168-8DBB-3A01D870D9AA}" id="{1BC6BC30-120E-4B15-9269-EA857EB594FA}">
    <text>EL 40% DEL IBC, REDONDEAR EN MILES HACIA ABAJO.
ESTE RENGLON SERIA OPCIONAL.</text>
  </threadedComment>
  <threadedComment ref="F4" dT="2026-08-21T01:38:20.21" personId="{96B86E82-C912-4168-8DBB-3A01D870D9AA}" id="{EB2C0642-253F-4CC2-A45B-BF333EE6DC9B}">
    <text xml:space="preserve">AUXILIO PATRONAL DE TRANSPORTE </text>
  </threadedComment>
  <threadedComment ref="V4" dT="2026-08-21T01:40:32.62" personId="{96B86E82-C912-4168-8DBB-3A01D870D9AA}" id="{10D9C7E5-16C9-471C-8A8C-964438A6B529}">
    <text>DIAS COT MULTIPLICADO POR 8,303.17.
EL VALOR DE 8,303.17 VARIA CADA AÑO (1RO DE ENERO).</text>
  </threadedComment>
  <threadedComment ref="F5" dT="2026-08-21T01:43:11.77" personId="{96B86E82-C912-4168-8DBB-3A01D870D9AA}" id="{76FF8EC0-B964-4298-96F3-7C83623080B1}">
    <text xml:space="preserve">APORTES EPS POR PAGAR </text>
  </threadedComment>
  <threadedComment ref="W5" dT="2026-08-21T01:46:47.81" personId="{96B86E82-C912-4168-8DBB-3A01D870D9AA}" id="{08561DEE-A03C-4D42-8E2C-30379D520D32}">
    <text>EL 4% DEL IBC DE SALUD, REDONDEAR EN CENTENAS HACIA ARRIBA.</text>
  </threadedComment>
  <threadedComment ref="F6" dT="2026-08-21T01:47:06.02" personId="{96B86E82-C912-4168-8DBB-3A01D870D9AA}" id="{256A7F71-4947-420C-8CE3-5AB370739429}">
    <text xml:space="preserve">APORTES AFP POR PAGAR </text>
  </threadedComment>
  <threadedComment ref="W6" dT="2026-08-21T01:46:47.81" personId="{96B86E82-C912-4168-8DBB-3A01D870D9AA}" id="{99C5040A-C0A9-4885-855A-5E1BAD59FC3E}">
    <text>EL 4% DEL IBC DE PENSION, REDONDEAR EN CENTENAS HACIA ARRIBA.</text>
  </threadedComment>
  <threadedComment ref="F7" dT="2026-08-21T01:50:59.07" personId="{96B86E82-C912-4168-8DBB-3A01D870D9AA}" id="{288CBD1C-105A-4EC2-BCFD-D94D08B5DC22}">
    <text xml:space="preserve">NOMINA POR PAGAR </text>
  </threadedComment>
  <threadedComment ref="W7" dT="2026-08-21T01:48:37.94" personId="{96B86E82-C912-4168-8DBB-3A01D870D9AA}" id="{3827ACA4-83B2-44AE-8E9B-926482BA3604}">
    <text>IBC + NOSALARIAL + AUX TRANSPORTE - APORTES SALUD - APORTES PENSION</text>
  </threadedComment>
  <threadedComment ref="F8" dT="2026-08-21T01:51:11.98" personId="{96B86E82-C912-4168-8DBB-3A01D870D9AA}" id="{3D8EF59D-0AE0-4945-A600-F9817CD36223}">
    <text xml:space="preserve">APORTES PENSION - AFP </text>
  </threadedComment>
  <threadedComment ref="V8" dT="2026-08-21T01:53:22.89" personId="{96B86E82-C912-4168-8DBB-3A01D870D9AA}" id="{7382F54B-EFA8-49C9-B3EE-B009B554EE51}">
    <text>EL 12% DEL IBC DE PENSION</text>
  </threadedComment>
  <threadedComment ref="F9" dT="2026-08-21T01:53:46.56" personId="{96B86E82-C912-4168-8DBB-3A01D870D9AA}" id="{E56BD079-7489-4E83-8CEE-9566710E4F36}">
    <text xml:space="preserve">APORTES AFP POR PAGAR </text>
  </threadedComment>
  <threadedComment ref="G9" dT="2026-08-21T02:03:56.12" personId="{96B86E82-C912-4168-8DBB-3A01D870D9AA}" id="{BE101E62-D7DE-4BD8-8B9D-F14535D55DAF}">
    <text>NIT DE LA EMPRESA</text>
  </threadedComment>
  <threadedComment ref="W9" dT="2026-08-21T01:56:49.97" personId="{96B86E82-C912-4168-8DBB-3A01D870D9AA}" id="{3DC20B14-F1FC-4A7F-A16F-7C0717724378}">
    <text>DEBE SER IGUAL A LA CELDA V8</text>
  </threadedComment>
  <threadedComment ref="V10" dT="2026-08-21T01:57:11.05" personId="{96B86E82-C912-4168-8DBB-3A01D870D9AA}" id="{AB3CA075-C7B5-4038-BFFD-9F3786F4EE1E}">
    <text>DEBE SER IGUAL AL TOTAL APORTE ARP DE LA PLANILLA</text>
  </threadedComment>
  <threadedComment ref="F11" dT="2026-08-21T01:58:04.03" personId="{96B86E82-C912-4168-8DBB-3A01D870D9AA}" id="{399BE1FA-E125-433C-9B7E-4AF360D3CAB5}">
    <text xml:space="preserve">APORTES ARL POR PAGAR </text>
  </threadedComment>
  <threadedComment ref="G11" dT="2026-08-21T02:02:41.26" personId="{96B86E82-C912-4168-8DBB-3A01D870D9AA}" id="{BD684200-7FD3-49A8-9A9D-FCB3E6A163A7}">
    <text>CADA EMPRESA SIEMPRE MANEJA SU ARP (O ARL), EN CONFIGURACION PODRIA PREGUNTAR ARL DE LA EMPRESA PARA Q SIEMPRE MANEJE EL MISMO NIT</text>
  </threadedComment>
  <threadedComment ref="W11" dT="2026-08-21T01:57:37.09" personId="{96B86E82-C912-4168-8DBB-3A01D870D9AA}" id="{78726C34-7825-4A61-BF9C-FB0FF223FD1E}">
    <text>DEBE SER IGUAL A LA CEDLA V10</text>
  </threadedComment>
  <threadedComment ref="V12" dT="2026-08-21T02:04:59.37" personId="{96B86E82-C912-4168-8DBB-3A01D870D9AA}" id="{BA9678AA-C6BE-4CAE-AEB5-E9B7463C8243}">
    <text>DEBE SER IGUAL AL TOTAL APORTE CCF DE LA PLANILLA</text>
  </threadedComment>
  <threadedComment ref="F13" dT="2026-08-21T01:58:46.91" personId="{96B86E82-C912-4168-8DBB-3A01D870D9AA}" id="{437A9FBF-C2DE-4BE4-AAFD-7A57CADC8FB3}">
    <text xml:space="preserve">APORTES CCF POR PAGAR </text>
  </threadedComment>
  <threadedComment ref="G13" dT="2026-08-21T02:03:15.29" personId="{96B86E82-C912-4168-8DBB-3A01D870D9AA}" id="{154E2B4B-06F1-4E85-9282-4B333F8A5323}">
    <text xml:space="preserve">CADA EMPRESA SIEMPRE MANEJA SU CCF (CAJA COMPENSACION FAMILIAR), EN CONFIGURACION PODRIA PREGUNTAR CCF DE LA EMPRESA PARA Q SIEMPRE MANEJE LA MISMO NIT
</text>
  </threadedComment>
  <threadedComment ref="W13" dT="2026-08-21T02:04:35.93" personId="{96B86E82-C912-4168-8DBB-3A01D870D9AA}" id="{F0893BCF-6ECE-4640-9D2A-ECD57FFA468A}">
    <text>DEBE SER IGUAL A LA CEDLA V12</text>
  </threadedComment>
  <threadedComment ref="F14" dT="2026-08-21T02:05:52.50" personId="{96B86E82-C912-4168-8DBB-3A01D870D9AA}" id="{1B6513CC-29B8-4DF1-9846-16893CA68DF2}">
    <text xml:space="preserve">AUXILIO DE CESANTIAS </text>
  </threadedComment>
  <threadedComment ref="V14" dT="2026-08-21T02:11:08.23" personId="{96B86E82-C912-4168-8DBB-3A01D870D9AA}" id="{35129292-C722-4675-84BA-73B98F8CB32D}">
    <text>IBC (CELDA V2) + AUX TRANSPORTE (CELDA V4) MULTIPLICADO POR EL 8.33%.
PUEDE OCURRIR Q EN ALGUNOS CASOS SE INCLUYA LOS PAGOS NO SALARIALES (CELDA V3)</text>
  </threadedComment>
  <threadedComment ref="F15" dT="2026-08-21T02:08:18.16" personId="{96B86E82-C912-4168-8DBB-3A01D870D9AA}" id="{AE1907CD-3C97-46FA-9431-433F749A485E}">
    <text>AUXILIO DE CESANTIAS POR PAGAR</text>
  </threadedComment>
  <threadedComment ref="W15" dT="2026-08-21T02:12:16.01" personId="{96B86E82-C912-4168-8DBB-3A01D870D9AA}" id="{D484AE74-1061-42E2-85F9-78AE2F91F525}">
    <text>DEBE SER IGUAL A LA CELDA V14</text>
  </threadedComment>
  <threadedComment ref="F16" dT="2026-08-21T02:06:00.59" personId="{96B86E82-C912-4168-8DBB-3A01D870D9AA}" id="{D5589C0D-1661-4BFF-9305-E5C41D9614BE}">
    <text xml:space="preserve">INTERESES DE CESANTIAS </text>
  </threadedComment>
  <threadedComment ref="V16" dT="2026-08-21T02:11:47.64" personId="{96B86E82-C912-4168-8DBB-3A01D870D9AA}" id="{2A1E0387-BF6F-4AF4-8DEF-8CDFFAC98588}">
    <text>LA CELDA V14 POR EL 12%</text>
  </threadedComment>
  <threadedComment ref="F17" dT="2026-08-21T02:07:29.76" personId="{96B86E82-C912-4168-8DBB-3A01D870D9AA}" id="{E4549324-B7CC-4138-82F1-559EFBC5945D}">
    <text>INTERESES DE CESANTIAS POR PAGAR</text>
  </threadedComment>
  <threadedComment ref="W17" dT="2026-08-21T02:12:36.26" personId="{96B86E82-C912-4168-8DBB-3A01D870D9AA}" id="{FDEC8AF1-1A2F-4FDA-9D18-6E1675527CEB}">
    <text>DEBE SER IGUAL A LA CELDA V16</text>
  </threadedComment>
  <threadedComment ref="F18" dT="2026-08-21T02:06:08.61" personId="{96B86E82-C912-4168-8DBB-3A01D870D9AA}" id="{3F4E6832-E0EA-4A6B-A328-26EF9C21540D}">
    <text xml:space="preserve">PRIMA DE SERVICIOS </text>
  </threadedComment>
  <threadedComment ref="V18" dT="2026-08-21T02:13:22.13" personId="{96B86E82-C912-4168-8DBB-3A01D870D9AA}" id="{0FA86613-052A-40F0-A37D-AF1FB8C259AE}">
    <text>DEBE SER IGUAL A LA CELDA V14</text>
  </threadedComment>
  <threadedComment ref="F19" dT="2026-08-21T02:07:39.27" personId="{96B86E82-C912-4168-8DBB-3A01D870D9AA}" id="{3C2E230D-5CCD-434F-A9D9-43A6D42D0A53}">
    <text>PRIMA DE SERVICIOS POR PAGAR</text>
  </threadedComment>
  <threadedComment ref="W19" dT="2026-08-21T02:13:47.57" personId="{96B86E82-C912-4168-8DBB-3A01D870D9AA}" id="{842B8652-6FBC-4145-B07E-55F91654AD43}">
    <text>DEBE SER IGUAL A LA CELDA V18</text>
  </threadedComment>
  <threadedComment ref="F20" dT="2026-08-21T02:06:16.55" personId="{96B86E82-C912-4168-8DBB-3A01D870D9AA}" id="{83708894-B469-4560-AE03-CABA4A08A68E}">
    <text xml:space="preserve">VACACIONES </text>
  </threadedComment>
  <threadedComment ref="V20" dT="2026-08-21T02:14:15.40" personId="{96B86E82-C912-4168-8DBB-3A01D870D9AA}" id="{437C80E4-1F48-418D-A7A1-67DAC06576F4}">
    <text xml:space="preserve">IBC (CELDA V2) MULTIPLICADO POR EL 4.17%.
PUEDE OCURRIR Q EN ALGUNOS CASOS SE INCLUYA LOS PAGOS NO SALARIALES (CELDA V3)
</text>
  </threadedComment>
  <threadedComment ref="F21" dT="2026-08-21T02:08:30.96" personId="{96B86E82-C912-4168-8DBB-3A01D870D9AA}" id="{0101C447-DE06-46BA-A0F6-8C06B6217EAE}">
    <text>VACACIONES CONSOLIDADAS POR PAGAR</text>
  </threadedComment>
  <threadedComment ref="W21" dT="2026-08-21T02:14:41.40" personId="{96B86E82-C912-4168-8DBB-3A01D870D9AA}" id="{57479BCA-2C7F-4D85-AF99-759518E98FA9}">
    <text>DEBE SER IGUAL A LA CELDA V20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1" dT="2026-08-21T01:39:42.98" personId="{96B86E82-C912-4168-8DBB-3A01D870D9AA}" id="{88C7B3BB-B1A4-4038-8307-194A63573A66}">
    <text>SOLO NUMEROS ENTEROS</text>
  </threadedComment>
  <threadedComment ref="W1" dT="2026-08-21T01:39:55.69" personId="{96B86E82-C912-4168-8DBB-3A01D870D9AA}" id="{AFFE3D20-83EA-49DC-B6CA-FA3B60825AED}">
    <text>SOLO NUMEROS ENTEROS</text>
  </threadedComment>
  <threadedComment ref="A2" dT="2026-08-21T01:25:24.89" personId="{96B86E82-C912-4168-8DBB-3A01D870D9AA}" id="{7AA58BE2-8A79-4913-82F1-8EDE6A25A9F4}">
    <text>SIEMPRE SERA EL 8</text>
  </threadedComment>
  <threadedComment ref="B2" dT="2026-08-21T01:25:59.92" personId="{96B86E82-C912-4168-8DBB-3A01D870D9AA}" id="{6DFA87BA-F5C6-428B-A963-A5B3E51560D5}">
    <text>ES UN CONSECUTIVO POR EMPLEADO; 
EL PLANO PUEDE TENER HASTA 500 RENGLONES</text>
  </threadedComment>
  <threadedComment ref="C2" dT="2026-08-21T01:31:15.87" personId="{96B86E82-C912-4168-8DBB-3A01D870D9AA}" id="{03ECC813-9209-4824-ACF2-9B52117F8A74}">
    <text>EL ULTIMO DIA DEL MES</text>
  </threadedComment>
  <threadedComment ref="D2" dT="2026-08-21T01:31:27.05" personId="{96B86E82-C912-4168-8DBB-3A01D870D9AA}" id="{47E4DB98-47C8-4677-80AD-631602CC402B}">
    <text>SIEMPRE SERA COP</text>
  </threadedComment>
  <threadedComment ref="F2" dT="2026-08-21T01:37:38.56" personId="{96B86E82-C912-4168-8DBB-3A01D870D9AA}" id="{B749DA0C-34D2-476C-AEDC-539824C14B72}">
    <text>SUELDO BASE</text>
  </threadedComment>
  <threadedComment ref="G2" dT="2026-08-21T01:32:57.63" personId="{96B86E82-C912-4168-8DBB-3A01D870D9AA}" id="{454F9604-4C77-46CA-AC90-74CF23A06557}">
    <text>CC DEL EMPLEADO, SOLO NUMEROS</text>
  </threadedComment>
  <threadedComment ref="V2" dT="2026-08-21T01:34:04.73" personId="{96B86E82-C912-4168-8DBB-3A01D870D9AA}" id="{500E3E20-54C3-4C80-829B-D04935635670}">
    <text>EL VALOR DEL IBC</text>
  </threadedComment>
  <threadedComment ref="F3" dT="2026-08-21T01:37:47.75" personId="{96B86E82-C912-4168-8DBB-3A01D870D9AA}" id="{BF25DF8A-BABB-4FA7-BA40-6FAE678A6A8E}">
    <text xml:space="preserve">PAGO NO SALARIAL LEY 1393/2010 </text>
  </threadedComment>
  <threadedComment ref="V3" dT="2026-08-21T01:36:56.78" personId="{96B86E82-C912-4168-8DBB-3A01D870D9AA}" id="{55FC8074-59DB-4D16-BBE0-18E16663E53A}">
    <text>EL 40% DEL IBC, REDONDEAR EN MILES HACIA ABAJO.
ESTE RENGLON SERIA OPCIONAL.</text>
  </threadedComment>
  <threadedComment ref="F4" dT="2026-08-21T01:38:20.21" personId="{96B86E82-C912-4168-8DBB-3A01D870D9AA}" id="{3A502C20-1864-4FC6-8EA4-4B71DECC0B9A}">
    <text xml:space="preserve">AUXILIO PATRONAL DE TRANSPORTE </text>
  </threadedComment>
  <threadedComment ref="V4" dT="2026-08-21T01:40:32.62" personId="{96B86E82-C912-4168-8DBB-3A01D870D9AA}" id="{69611B54-B296-4230-9821-724F4855EE5E}">
    <text>DIAS COT MULTIPLICADO POR 8,303.17.
EL VALOR DE 8,303.17 VARIA CADA AÑO (1RO DE ENERO).</text>
  </threadedComment>
  <threadedComment ref="F5" dT="2026-08-21T01:43:11.77" personId="{96B86E82-C912-4168-8DBB-3A01D870D9AA}" id="{A30A47DB-C8A7-487C-B5EF-49F76671DA62}">
    <text xml:space="preserve">APORTES EPS POR PAGAR </text>
  </threadedComment>
  <threadedComment ref="W5" dT="2026-08-21T01:46:47.81" personId="{96B86E82-C912-4168-8DBB-3A01D870D9AA}" id="{47C93531-AB6E-4FE1-AFE1-D5A55955CED5}">
    <text>EL 4% DEL IBC DE SALUD, REDONDEAR EN CENTENAS HACIA ARRIBA.</text>
  </threadedComment>
  <threadedComment ref="F6" dT="2026-08-21T01:47:06.02" personId="{96B86E82-C912-4168-8DBB-3A01D870D9AA}" id="{5B773DD1-26FA-4621-A99D-3783D99AA4ED}">
    <text xml:space="preserve">APORTES AFP POR PAGAR </text>
  </threadedComment>
  <threadedComment ref="W6" dT="2026-08-21T01:46:47.81" personId="{96B86E82-C912-4168-8DBB-3A01D870D9AA}" id="{54347A69-665B-4EE1-9516-1077304100F7}">
    <text>EL 4% DEL IBC DE PENSION, REDONDEAR EN CENTENAS HACIA ARRIBA.</text>
  </threadedComment>
  <threadedComment ref="F7" dT="2026-08-21T01:50:59.07" personId="{96B86E82-C912-4168-8DBB-3A01D870D9AA}" id="{876B642A-4655-4F2F-B31D-7C015FC7E5B5}">
    <text xml:space="preserve">NOMINA POR PAGAR </text>
  </threadedComment>
  <threadedComment ref="W7" dT="2026-08-21T01:48:37.94" personId="{96B86E82-C912-4168-8DBB-3A01D870D9AA}" id="{87C7C23F-C30F-4B99-B7DA-6B128264A1DB}">
    <text>IBC + NOSALARIAL + AUX TRANSPORTE - APORTES SALUD - APORTES PENSION</text>
  </threadedComment>
  <threadedComment ref="F8" dT="2026-08-21T01:51:11.98" personId="{96B86E82-C912-4168-8DBB-3A01D870D9AA}" id="{00F3537D-E4D1-4B15-92B0-D00D1A334056}">
    <text xml:space="preserve">APORTES PENSION - AFP </text>
  </threadedComment>
  <threadedComment ref="V8" dT="2026-08-21T01:53:22.89" personId="{96B86E82-C912-4168-8DBB-3A01D870D9AA}" id="{98EA91EC-A9E5-4EE7-9EBE-4F1A625242DB}">
    <text>EL 12% DEL IBC DE PENSION</text>
  </threadedComment>
  <threadedComment ref="F9" dT="2026-08-21T01:53:46.56" personId="{96B86E82-C912-4168-8DBB-3A01D870D9AA}" id="{95B80BA1-1302-4273-A6CD-DD4E11A90E46}">
    <text xml:space="preserve">APORTES AFP POR PAGAR </text>
  </threadedComment>
  <threadedComment ref="G9" dT="2026-08-21T02:03:56.12" personId="{96B86E82-C912-4168-8DBB-3A01D870D9AA}" id="{765B09C3-CF22-42FA-AB12-B061F27B49CF}">
    <text>NIT DE LA EMPRESA</text>
  </threadedComment>
  <threadedComment ref="W9" dT="2026-08-21T01:56:49.97" personId="{96B86E82-C912-4168-8DBB-3A01D870D9AA}" id="{25160172-57B1-4E7E-BF69-205E6801A8AE}">
    <text>DEBE SER IGUAL A LA CELDA V8</text>
  </threadedComment>
  <threadedComment ref="V10" dT="2026-08-21T01:57:11.05" personId="{96B86E82-C912-4168-8DBB-3A01D870D9AA}" id="{1C00C3DE-EC3E-4A70-B2D5-A81A5756123E}">
    <text>DEBE SER IGUAL AL TOTAL APORTE ARP DE LA PLANILLA</text>
  </threadedComment>
  <threadedComment ref="F11" dT="2026-08-21T01:58:04.03" personId="{96B86E82-C912-4168-8DBB-3A01D870D9AA}" id="{43B1388E-33D2-474A-8B5B-2197903BCAB0}">
    <text xml:space="preserve">APORTES ARL POR PAGAR </text>
  </threadedComment>
  <threadedComment ref="G11" dT="2026-08-21T02:02:41.26" personId="{96B86E82-C912-4168-8DBB-3A01D870D9AA}" id="{715EF5C1-5386-4EBA-AB58-DB9CFE4F9BC7}">
    <text>CADA EMPRESA SIEMPRE MANEJA SU ARP (O ARL), EN CONFIGURACION PODRIA PREGUNTAR ARL DE LA EMPRESA PARA Q SIEMPRE MANEJE EL MISMO NIT</text>
  </threadedComment>
  <threadedComment ref="W11" dT="2026-08-21T01:57:37.09" personId="{96B86E82-C912-4168-8DBB-3A01D870D9AA}" id="{AC7EE00C-039D-4518-AD89-C7590A976A29}">
    <text>DEBE SER IGUAL A LA CEDLA V10</text>
  </threadedComment>
  <threadedComment ref="V12" dT="2026-08-21T02:04:59.37" personId="{96B86E82-C912-4168-8DBB-3A01D870D9AA}" id="{D20843E9-5B24-466A-AB4E-83505CC039E7}">
    <text>DEBE SER IGUAL AL TOTAL APORTE CCF DE LA PLANILLA</text>
  </threadedComment>
  <threadedComment ref="F13" dT="2026-08-21T01:58:46.91" personId="{96B86E82-C912-4168-8DBB-3A01D870D9AA}" id="{4B3AA4F8-F649-4844-BB40-8C8C191AEAF8}">
    <text xml:space="preserve">APORTES CCF POR PAGAR </text>
  </threadedComment>
  <threadedComment ref="G13" dT="2026-08-21T02:03:15.29" personId="{96B86E82-C912-4168-8DBB-3A01D870D9AA}" id="{21D134CC-2377-4360-8A6B-0EB0692A209C}">
    <text xml:space="preserve">CADA EMPRESA SIEMPRE MANEJA SU CCF (CAJA COMPENSACION FAMILIAR), EN CONFIGURACION PODRIA PREGUNTAR CCF DE LA EMPRESA PARA Q SIEMPRE MANEJE LA MISMO NIT
</text>
  </threadedComment>
  <threadedComment ref="W13" dT="2026-08-21T02:04:35.93" personId="{96B86E82-C912-4168-8DBB-3A01D870D9AA}" id="{3C4FC309-5C4D-4CF7-BCF7-DFA142FCB38E}">
    <text>DEBE SER IGUAL A LA CEDLA V12</text>
  </threadedComment>
  <threadedComment ref="F14" dT="2026-08-21T02:05:52.50" personId="{96B86E82-C912-4168-8DBB-3A01D870D9AA}" id="{657903C6-8062-48B0-8E0B-D913252A48EE}">
    <text xml:space="preserve">AUXILIO DE CESANTIAS </text>
  </threadedComment>
  <threadedComment ref="V14" dT="2026-08-21T02:11:08.23" personId="{96B86E82-C912-4168-8DBB-3A01D870D9AA}" id="{0D8C495D-DF3F-42CF-B2B1-940B7D502C44}">
    <text>IBC (CELDA V2) + AUX TRANSPORTE (CELDA V4) MULTIPLICADO POR EL 8.33%.
PUEDE OCURRIR Q EN ALGUNOS CASOS SE INCLUYA LOS PAGOS NO SALARIALES (CELDA V3)</text>
  </threadedComment>
  <threadedComment ref="F15" dT="2026-08-21T02:08:18.16" personId="{96B86E82-C912-4168-8DBB-3A01D870D9AA}" id="{A2B4CE99-6F99-4205-A142-CFCA9AE610E0}">
    <text>AUXILIO DE CESANTIAS POR PAGAR</text>
  </threadedComment>
  <threadedComment ref="W15" dT="2026-08-21T02:12:16.01" personId="{96B86E82-C912-4168-8DBB-3A01D870D9AA}" id="{9B53C93E-7431-49D0-B41E-D629395E350B}">
    <text>DEBE SER IGUAL A LA CELDA V14</text>
  </threadedComment>
  <threadedComment ref="F16" dT="2026-08-21T02:06:00.59" personId="{96B86E82-C912-4168-8DBB-3A01D870D9AA}" id="{B0F83F7A-E0C6-4803-9AB1-7460B12A3F33}">
    <text xml:space="preserve">INTERESES DE CESANTIAS </text>
  </threadedComment>
  <threadedComment ref="V16" dT="2026-08-21T02:11:47.64" personId="{96B86E82-C912-4168-8DBB-3A01D870D9AA}" id="{B495DCDA-2702-4C9B-B9FD-29473DCE4437}">
    <text>LA CELDA V14 POR EL 12%</text>
  </threadedComment>
  <threadedComment ref="F17" dT="2026-08-21T02:07:29.76" personId="{96B86E82-C912-4168-8DBB-3A01D870D9AA}" id="{B3F8193E-B6CC-4F26-B7E1-680D53A9ACFA}">
    <text>INTERESES DE CESANTIAS POR PAGAR</text>
  </threadedComment>
  <threadedComment ref="W17" dT="2026-08-21T02:12:36.26" personId="{96B86E82-C912-4168-8DBB-3A01D870D9AA}" id="{513756C8-D7B0-4C83-B601-763183726B9B}">
    <text>DEBE SER IGUAL A LA CELDA V16</text>
  </threadedComment>
  <threadedComment ref="F18" dT="2026-08-21T02:06:08.61" personId="{96B86E82-C912-4168-8DBB-3A01D870D9AA}" id="{1A74E7B5-D735-480C-8027-6EC31BCA63D6}">
    <text xml:space="preserve">PRIMA DE SERVICIOS </text>
  </threadedComment>
  <threadedComment ref="V18" dT="2026-08-21T02:13:22.13" personId="{96B86E82-C912-4168-8DBB-3A01D870D9AA}" id="{002A2EAF-9700-4064-B73E-7896CB44D73A}">
    <text>DEBE SER IGUAL A LA CELDA V14</text>
  </threadedComment>
  <threadedComment ref="F19" dT="2026-08-21T02:07:39.27" personId="{96B86E82-C912-4168-8DBB-3A01D870D9AA}" id="{B42A80CB-90F4-4715-AA32-856423A91B50}">
    <text>PRIMA DE SERVICIOS POR PAGAR</text>
  </threadedComment>
  <threadedComment ref="W19" dT="2026-08-21T02:13:47.57" personId="{96B86E82-C912-4168-8DBB-3A01D870D9AA}" id="{83E3FD6A-072A-4441-9490-96002F36F051}">
    <text>DEBE SER IGUAL A LA CELDA V18</text>
  </threadedComment>
  <threadedComment ref="F20" dT="2026-08-21T02:06:16.55" personId="{96B86E82-C912-4168-8DBB-3A01D870D9AA}" id="{C4049B2F-7BBD-4872-86A3-942D0C698D35}">
    <text xml:space="preserve">VACACIONES </text>
  </threadedComment>
  <threadedComment ref="V20" dT="2026-08-21T02:14:15.40" personId="{96B86E82-C912-4168-8DBB-3A01D870D9AA}" id="{46C2AEE3-A8C5-445F-8AF0-C498F5D82001}">
    <text xml:space="preserve">IBC (CELDA V2) MULTIPLICADO POR EL 4.17%.
PUEDE OCURRIR Q EN ALGUNOS CASOS SE INCLUYA LOS PAGOS NO SALARIALES (CELDA V3)
</text>
  </threadedComment>
  <threadedComment ref="F21" dT="2026-08-21T02:08:30.96" personId="{96B86E82-C912-4168-8DBB-3A01D870D9AA}" id="{65A074E4-C422-4BA2-B798-0EA2D5C4343B}">
    <text>VACACIONES CONSOLIDADAS POR PAGAR</text>
  </threadedComment>
  <threadedComment ref="W21" dT="2026-08-21T02:14:41.40" personId="{96B86E82-C912-4168-8DBB-3A01D870D9AA}" id="{398282EA-D0BB-4CE2-8160-575AEDD2FE94}">
    <text>DEBE SER IGUAL A LA CELDA V20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1" dT="2026-08-21T01:39:42.98" personId="{96B86E82-C912-4168-8DBB-3A01D870D9AA}" id="{A2D2B287-99C2-4997-976E-6253B7635E7B}">
    <text>SOLO NUMEROS ENTEROS</text>
  </threadedComment>
  <threadedComment ref="W1" dT="2026-08-21T01:39:55.69" personId="{96B86E82-C912-4168-8DBB-3A01D870D9AA}" id="{263949CA-C70B-44B1-B1B3-1D7751AA172A}">
    <text>SOLO NUMEROS ENTEROS</text>
  </threadedComment>
  <threadedComment ref="A2" dT="2026-08-21T01:25:24.89" personId="{96B86E82-C912-4168-8DBB-3A01D870D9AA}" id="{4BEDBA57-317D-4F91-BF61-42A8F3EAC287}">
    <text>SIEMPRE SERA EL 8</text>
  </threadedComment>
  <threadedComment ref="B2" dT="2026-08-21T01:25:59.92" personId="{96B86E82-C912-4168-8DBB-3A01D870D9AA}" id="{1CCDCBC1-1DD7-4F8B-B058-45F55DDFCBAF}">
    <text>ES UN CONSECUTIVO POR EMPLEADO; 
EL PLANO PUEDE TENER HASTA 500 RENGLONES</text>
  </threadedComment>
  <threadedComment ref="C2" dT="2026-08-21T01:31:15.87" personId="{96B86E82-C912-4168-8DBB-3A01D870D9AA}" id="{72468856-1273-46AC-AC87-6044BB304753}">
    <text>EL ULTIMO DIA DEL MES</text>
  </threadedComment>
  <threadedComment ref="D2" dT="2026-08-21T01:31:27.05" personId="{96B86E82-C912-4168-8DBB-3A01D870D9AA}" id="{57B0938E-EEC0-44AA-8E78-905A0CE23FCE}">
    <text>SIEMPRE SERA COP</text>
  </threadedComment>
  <threadedComment ref="F2" dT="2026-08-21T01:37:38.56" personId="{96B86E82-C912-4168-8DBB-3A01D870D9AA}" id="{EF78BD37-5DD7-482C-AA20-FC7E227288D9}">
    <text>SUELDO BASE</text>
  </threadedComment>
  <threadedComment ref="G2" dT="2026-08-21T01:32:57.63" personId="{96B86E82-C912-4168-8DBB-3A01D870D9AA}" id="{A91A0858-AFD2-4908-AC2F-B649004DF83B}">
    <text>CC DEL EMPLEADO, SOLO NUMEROS</text>
  </threadedComment>
  <threadedComment ref="V2" dT="2026-08-21T01:34:04.73" personId="{96B86E82-C912-4168-8DBB-3A01D870D9AA}" id="{2D5E5328-B4F7-4434-B94C-AB577D8CAA18}">
    <text>EL VALOR DEL IBC</text>
  </threadedComment>
  <threadedComment ref="F3" dT="2026-08-21T01:37:47.75" personId="{96B86E82-C912-4168-8DBB-3A01D870D9AA}" id="{E11AFBB0-6594-408F-B947-3F0E0B79B1BD}">
    <text xml:space="preserve">PAGO NO SALARIAL LEY 1393/2010 </text>
  </threadedComment>
  <threadedComment ref="V3" dT="2026-08-21T01:36:56.78" personId="{96B86E82-C912-4168-8DBB-3A01D870D9AA}" id="{69FAE274-C1F1-4CEE-9B92-9F0E1CCA86B7}">
    <text>EL 40% DEL IBC, REDONDEAR EN MILES HACIA ABAJO.
ESTE RENGLON SERIA OPCIONAL.</text>
  </threadedComment>
  <threadedComment ref="F4" dT="2026-08-21T01:38:20.21" personId="{96B86E82-C912-4168-8DBB-3A01D870D9AA}" id="{57D91A2E-C2B8-4621-8C6E-AE66C673ABA9}">
    <text xml:space="preserve">AUXILIO PATRONAL DE TRANSPORTE </text>
  </threadedComment>
  <threadedComment ref="V4" dT="2026-08-21T01:40:32.62" personId="{96B86E82-C912-4168-8DBB-3A01D870D9AA}" id="{DCADA794-9A16-4467-AB54-43923838D48F}">
    <text>DIAS COT MULTIPLICADO POR 8,303.17.
EL VALOR DE 8,303.17 VARIA CADA AÑO (1RO DE ENERO).</text>
  </threadedComment>
  <threadedComment ref="F5" dT="2026-08-21T01:43:11.77" personId="{96B86E82-C912-4168-8DBB-3A01D870D9AA}" id="{145CAD87-F9AE-44D2-91E6-72DFFD4A0C0B}">
    <text xml:space="preserve">APORTES EPS POR PAGAR </text>
  </threadedComment>
  <threadedComment ref="W5" dT="2026-08-21T01:46:47.81" personId="{96B86E82-C912-4168-8DBB-3A01D870D9AA}" id="{BCAB1D76-4AF2-48FA-B96B-64E581D66A1A}">
    <text>EL 4% DEL IBC DE SALUD, REDONDEAR EN CENTENAS HACIA ARRIBA.</text>
  </threadedComment>
  <threadedComment ref="F6" dT="2026-08-21T01:47:06.02" personId="{96B86E82-C912-4168-8DBB-3A01D870D9AA}" id="{870FB66A-2001-47BC-8984-6C2BD9E0239A}">
    <text xml:space="preserve">APORTES AFP POR PAGAR </text>
  </threadedComment>
  <threadedComment ref="W6" dT="2026-08-21T01:46:47.81" personId="{96B86E82-C912-4168-8DBB-3A01D870D9AA}" id="{A3359CF4-A9E7-4E74-ADF1-A35A5B10916F}">
    <text>EL 4% DEL IBC DE PENSION, REDONDEAR EN CENTENAS HACIA ARRIBA.</text>
  </threadedComment>
  <threadedComment ref="F7" dT="2026-08-21T01:50:59.07" personId="{96B86E82-C912-4168-8DBB-3A01D870D9AA}" id="{90A37B2E-B94F-4421-8304-4B3EE8B47098}">
    <text xml:space="preserve">NOMINA POR PAGAR </text>
  </threadedComment>
  <threadedComment ref="W7" dT="2026-08-21T01:48:37.94" personId="{96B86E82-C912-4168-8DBB-3A01D870D9AA}" id="{EF1DE99C-AFC5-4AF3-B94A-36B974B93D71}">
    <text>IBC + NOSALARIAL + AUX TRANSPORTE - APORTES SALUD - APORTES PENSION</text>
  </threadedComment>
  <threadedComment ref="F8" dT="2026-08-21T01:51:11.98" personId="{96B86E82-C912-4168-8DBB-3A01D870D9AA}" id="{352195BE-645A-4C05-B606-88B26B0504FB}">
    <text xml:space="preserve">APORTES PENSION - AFP </text>
  </threadedComment>
  <threadedComment ref="V8" dT="2026-08-21T01:53:22.89" personId="{96B86E82-C912-4168-8DBB-3A01D870D9AA}" id="{135BDAE2-42CE-40BE-BB68-578AC61F337B}">
    <text>EL 12% DEL IBC DE PENSION</text>
  </threadedComment>
  <threadedComment ref="F9" dT="2026-08-21T01:53:46.56" personId="{96B86E82-C912-4168-8DBB-3A01D870D9AA}" id="{7BA1DAB8-A339-4441-B5CD-075DBCB00B86}">
    <text xml:space="preserve">APORTES AFP POR PAGAR </text>
  </threadedComment>
  <threadedComment ref="G9" dT="2026-08-21T02:03:56.12" personId="{96B86E82-C912-4168-8DBB-3A01D870D9AA}" id="{CF102582-B000-40EF-8B70-B0E750FC58BA}">
    <text>NIT DE LA EMPRESA</text>
  </threadedComment>
  <threadedComment ref="W9" dT="2026-08-21T01:56:49.97" personId="{96B86E82-C912-4168-8DBB-3A01D870D9AA}" id="{059AC7EC-E5BE-4E7A-A073-94DD5A840225}">
    <text>DEBE SER IGUAL A LA CELDA V8</text>
  </threadedComment>
  <threadedComment ref="V10" dT="2026-08-21T01:57:11.05" personId="{96B86E82-C912-4168-8DBB-3A01D870D9AA}" id="{FA4FFDCE-765E-4B74-BBAC-17305A2C4DE2}">
    <text>DEBE SER IGUAL AL TOTAL APORTE ARP DE LA PLANILLA</text>
  </threadedComment>
  <threadedComment ref="F11" dT="2026-08-21T01:58:04.03" personId="{96B86E82-C912-4168-8DBB-3A01D870D9AA}" id="{07D33F75-8264-415A-93A0-F61C9FEF26D6}">
    <text xml:space="preserve">APORTES ARL POR PAGAR </text>
  </threadedComment>
  <threadedComment ref="G11" dT="2026-08-21T02:02:41.26" personId="{96B86E82-C912-4168-8DBB-3A01D870D9AA}" id="{8FACAD2F-6451-4FCD-AEBF-BFB7B8938A71}">
    <text>CADA EMPRESA SIEMPRE MANEJA SU ARP (O ARL), EN CONFIGURACION PODRIA PREGUNTAR ARL DE LA EMPRESA PARA Q SIEMPRE MANEJE EL MISMO NIT</text>
  </threadedComment>
  <threadedComment ref="W11" dT="2026-08-21T01:57:37.09" personId="{96B86E82-C912-4168-8DBB-3A01D870D9AA}" id="{66DA4A7B-AB6E-4524-AC2D-6AFBA8718D6D}">
    <text>DEBE SER IGUAL A LA CEDLA V10</text>
  </threadedComment>
  <threadedComment ref="V12" dT="2026-08-21T02:04:59.37" personId="{96B86E82-C912-4168-8DBB-3A01D870D9AA}" id="{66FF44C5-E2C5-49C9-B7A0-66AD9787497B}">
    <text>DEBE SER IGUAL AL TOTAL APORTE CCF DE LA PLANILLA</text>
  </threadedComment>
  <threadedComment ref="F13" dT="2026-08-21T01:58:46.91" personId="{96B86E82-C912-4168-8DBB-3A01D870D9AA}" id="{F003ED95-B79B-4EE9-BD76-3AA8008AC262}">
    <text xml:space="preserve">APORTES CCF POR PAGAR </text>
  </threadedComment>
  <threadedComment ref="G13" dT="2026-08-21T02:03:15.29" personId="{96B86E82-C912-4168-8DBB-3A01D870D9AA}" id="{84EF2490-01E8-4548-9EA2-0774D7A23E5C}">
    <text xml:space="preserve">CADA EMPRESA SIEMPRE MANEJA SU CCF (CAJA COMPENSACION FAMILIAR), EN CONFIGURACION PODRIA PREGUNTAR CCF DE LA EMPRESA PARA Q SIEMPRE MANEJE LA MISMO NIT
</text>
  </threadedComment>
  <threadedComment ref="W13" dT="2026-08-21T02:04:35.93" personId="{96B86E82-C912-4168-8DBB-3A01D870D9AA}" id="{0A5C403A-9EDC-41B9-BE22-BD7CEDE51D50}">
    <text>DEBE SER IGUAL A LA CEDLA V12</text>
  </threadedComment>
  <threadedComment ref="F14" dT="2026-08-21T02:05:52.50" personId="{96B86E82-C912-4168-8DBB-3A01D870D9AA}" id="{71DF0C2C-9493-435F-B799-EA9031200235}">
    <text xml:space="preserve">AUXILIO DE CESANTIAS </text>
  </threadedComment>
  <threadedComment ref="V14" dT="2026-08-21T02:11:08.23" personId="{96B86E82-C912-4168-8DBB-3A01D870D9AA}" id="{AA6D5581-2B40-437A-9BBF-ABC05AB368CF}">
    <text>IBC (CELDA V2) + AUX TRANSPORTE (CELDA V4) MULTIPLICADO POR EL 8.33%.
PUEDE OCURRIR Q EN ALGUNOS CASOS SE INCLUYA LOS PAGOS NO SALARIALES (CELDA V3)</text>
  </threadedComment>
  <threadedComment ref="F15" dT="2026-08-21T02:08:18.16" personId="{96B86E82-C912-4168-8DBB-3A01D870D9AA}" id="{0916DA9C-5806-4009-98B9-6CA46E6369A7}">
    <text>AUXILIO DE CESANTIAS POR PAGAR</text>
  </threadedComment>
  <threadedComment ref="W15" dT="2026-08-21T02:12:16.01" personId="{96B86E82-C912-4168-8DBB-3A01D870D9AA}" id="{83C38B02-3F04-42FF-AD33-A45D2D5209E4}">
    <text>DEBE SER IGUAL A LA CELDA V14</text>
  </threadedComment>
  <threadedComment ref="F16" dT="2026-08-21T02:06:00.59" personId="{96B86E82-C912-4168-8DBB-3A01D870D9AA}" id="{385C5BD1-8C81-4DC4-840E-B9CC4245166C}">
    <text xml:space="preserve">INTERESES DE CESANTIAS </text>
  </threadedComment>
  <threadedComment ref="V16" dT="2026-08-21T02:11:47.64" personId="{96B86E82-C912-4168-8DBB-3A01D870D9AA}" id="{B2001108-F761-4A47-ACC0-80EDAC44CE80}">
    <text>LA CELDA V14 POR EL 12%</text>
  </threadedComment>
  <threadedComment ref="F17" dT="2026-08-21T02:07:29.76" personId="{96B86E82-C912-4168-8DBB-3A01D870D9AA}" id="{9F7977C4-2AAE-41AD-9952-A3545D507EA3}">
    <text>INTERESES DE CESANTIAS POR PAGAR</text>
  </threadedComment>
  <threadedComment ref="W17" dT="2026-08-21T02:12:36.26" personId="{96B86E82-C912-4168-8DBB-3A01D870D9AA}" id="{A8F811AE-7F83-4127-A43F-9899A9C97EA5}">
    <text>DEBE SER IGUAL A LA CELDA V16</text>
  </threadedComment>
  <threadedComment ref="F18" dT="2026-08-21T02:06:08.61" personId="{96B86E82-C912-4168-8DBB-3A01D870D9AA}" id="{DE9F8B67-6C18-452C-A2A3-A7D9A65CC766}">
    <text xml:space="preserve">PRIMA DE SERVICIOS </text>
  </threadedComment>
  <threadedComment ref="V18" dT="2026-08-21T02:13:22.13" personId="{96B86E82-C912-4168-8DBB-3A01D870D9AA}" id="{F9B29EC8-7144-436E-9EDF-ECC83FD5C706}">
    <text>DEBE SER IGUAL A LA CELDA V14</text>
  </threadedComment>
  <threadedComment ref="F19" dT="2026-08-21T02:07:39.27" personId="{96B86E82-C912-4168-8DBB-3A01D870D9AA}" id="{7F12A715-F5F6-4661-9754-DE37D1F3BC2A}">
    <text>PRIMA DE SERVICIOS POR PAGAR</text>
  </threadedComment>
  <threadedComment ref="W19" dT="2026-08-21T02:13:47.57" personId="{96B86E82-C912-4168-8DBB-3A01D870D9AA}" id="{40D7EBA4-87FC-43B9-8576-5BA08E664CDA}">
    <text>DEBE SER IGUAL A LA CELDA V18</text>
  </threadedComment>
  <threadedComment ref="F20" dT="2026-08-21T02:06:16.55" personId="{96B86E82-C912-4168-8DBB-3A01D870D9AA}" id="{F4312785-4A2C-4563-BD50-0CE4E5F0D06A}">
    <text xml:space="preserve">VACACIONES </text>
  </threadedComment>
  <threadedComment ref="V20" dT="2026-08-21T02:14:15.40" personId="{96B86E82-C912-4168-8DBB-3A01D870D9AA}" id="{5D1A2C1D-AC0E-450B-9D87-A66B8C97B603}">
    <text xml:space="preserve">IBC (CELDA V2) MULTIPLICADO POR EL 4.17%.
PUEDE OCURRIR Q EN ALGUNOS CASOS SE INCLUYA LOS PAGOS NO SALARIALES (CELDA V3)
</text>
  </threadedComment>
  <threadedComment ref="F21" dT="2026-08-21T02:08:30.96" personId="{96B86E82-C912-4168-8DBB-3A01D870D9AA}" id="{FF49EF37-9847-4B0A-BA51-F879F370331F}">
    <text>VACACIONES CONSOLIDADAS POR PAGAR</text>
  </threadedComment>
  <threadedComment ref="W21" dT="2026-08-21T02:14:41.40" personId="{96B86E82-C912-4168-8DBB-3A01D870D9AA}" id="{F6BC5F5E-F85D-4E91-A88F-4B74D8578B16}">
    <text>DEBE SER IGUAL A LA CELDA V20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>
      <selection activeCell="J5" sqref="J5"/>
    </sheetView>
  </sheetViews>
  <sheetFormatPr baseColWidth="10" defaultRowHeight="15.5" x14ac:dyDescent="0.35"/>
  <cols>
    <col min="20" max="20" width="16.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8</v>
      </c>
      <c r="B2">
        <v>1</v>
      </c>
      <c r="C2" s="1">
        <v>46234</v>
      </c>
      <c r="D2" t="s">
        <v>27</v>
      </c>
      <c r="E2" t="s">
        <v>28</v>
      </c>
      <c r="F2">
        <v>52050601</v>
      </c>
      <c r="G2">
        <v>98774258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29</v>
      </c>
      <c r="U2" t="s">
        <v>28</v>
      </c>
      <c r="V2">
        <v>2000000</v>
      </c>
      <c r="W2">
        <v>0</v>
      </c>
      <c r="Z2" t="s">
        <v>28</v>
      </c>
      <c r="AA2" t="s">
        <v>28</v>
      </c>
    </row>
    <row r="3" spans="1:27" x14ac:dyDescent="0.35">
      <c r="A3">
        <v>8</v>
      </c>
      <c r="B3">
        <v>1</v>
      </c>
      <c r="C3" s="1">
        <v>46234</v>
      </c>
      <c r="D3" t="s">
        <v>27</v>
      </c>
      <c r="F3">
        <v>52050602</v>
      </c>
      <c r="G3">
        <v>98774258</v>
      </c>
      <c r="T3" t="s">
        <v>29</v>
      </c>
      <c r="V3">
        <f>ROUNDDOWN(V2*40%,-3)</f>
        <v>800000</v>
      </c>
      <c r="W3">
        <v>0</v>
      </c>
    </row>
    <row r="4" spans="1:27" x14ac:dyDescent="0.35">
      <c r="A4">
        <v>8</v>
      </c>
      <c r="B4">
        <v>1</v>
      </c>
      <c r="C4" s="1">
        <v>46234</v>
      </c>
      <c r="D4" t="s">
        <v>27</v>
      </c>
      <c r="F4">
        <v>52052701</v>
      </c>
      <c r="G4">
        <v>98774258</v>
      </c>
      <c r="T4" t="s">
        <v>29</v>
      </c>
      <c r="V4" s="2">
        <f>8303.17*30</f>
        <v>249095.1</v>
      </c>
      <c r="W4">
        <v>0</v>
      </c>
    </row>
    <row r="5" spans="1:27" x14ac:dyDescent="0.35">
      <c r="A5">
        <v>8</v>
      </c>
      <c r="B5">
        <v>1</v>
      </c>
      <c r="C5" s="1">
        <v>46234</v>
      </c>
      <c r="D5" t="s">
        <v>27</v>
      </c>
      <c r="F5">
        <v>25700501</v>
      </c>
      <c r="G5">
        <v>98774258</v>
      </c>
      <c r="T5" t="s">
        <v>29</v>
      </c>
      <c r="V5">
        <v>0</v>
      </c>
      <c r="W5">
        <f>V2*4%</f>
        <v>80000</v>
      </c>
    </row>
    <row r="6" spans="1:27" x14ac:dyDescent="0.35">
      <c r="A6">
        <v>8</v>
      </c>
      <c r="B6">
        <v>1</v>
      </c>
      <c r="C6" s="1">
        <v>46234</v>
      </c>
      <c r="D6" t="s">
        <v>27</v>
      </c>
      <c r="F6">
        <v>25700502</v>
      </c>
      <c r="G6">
        <v>98774258</v>
      </c>
      <c r="T6" t="s">
        <v>29</v>
      </c>
      <c r="V6">
        <v>0</v>
      </c>
      <c r="W6">
        <f>V2*4%</f>
        <v>80000</v>
      </c>
    </row>
    <row r="7" spans="1:27" x14ac:dyDescent="0.35">
      <c r="A7">
        <v>8</v>
      </c>
      <c r="B7">
        <v>1</v>
      </c>
      <c r="C7" s="1">
        <v>46234</v>
      </c>
      <c r="D7" t="s">
        <v>27</v>
      </c>
      <c r="F7">
        <v>25050501</v>
      </c>
      <c r="G7">
        <v>98774258</v>
      </c>
      <c r="T7" t="s">
        <v>29</v>
      </c>
      <c r="V7">
        <v>0</v>
      </c>
      <c r="W7" s="2">
        <f>V2+V3+V4-W5-W6</f>
        <v>2889095.1</v>
      </c>
    </row>
    <row r="8" spans="1:27" x14ac:dyDescent="0.35">
      <c r="A8">
        <v>8</v>
      </c>
      <c r="B8">
        <v>1</v>
      </c>
      <c r="C8" s="1">
        <v>46234</v>
      </c>
      <c r="D8" t="s">
        <v>27</v>
      </c>
      <c r="F8">
        <v>52056702</v>
      </c>
      <c r="G8">
        <v>98774258</v>
      </c>
      <c r="T8" t="s">
        <v>30</v>
      </c>
      <c r="V8">
        <f>V2*12%</f>
        <v>240000</v>
      </c>
      <c r="W8">
        <v>0</v>
      </c>
    </row>
    <row r="9" spans="1:27" x14ac:dyDescent="0.35">
      <c r="A9">
        <v>8</v>
      </c>
      <c r="B9">
        <v>1</v>
      </c>
      <c r="C9" s="1">
        <v>46234</v>
      </c>
      <c r="D9" t="s">
        <v>27</v>
      </c>
      <c r="F9">
        <v>25700502</v>
      </c>
      <c r="G9">
        <v>901465677</v>
      </c>
      <c r="T9" t="s">
        <v>30</v>
      </c>
      <c r="V9">
        <v>0</v>
      </c>
      <c r="W9">
        <f>V8</f>
        <v>240000</v>
      </c>
    </row>
    <row r="10" spans="1:27" x14ac:dyDescent="0.35">
      <c r="A10">
        <v>8</v>
      </c>
      <c r="B10">
        <v>1</v>
      </c>
      <c r="C10" s="1">
        <v>46234</v>
      </c>
      <c r="D10" t="s">
        <v>27</v>
      </c>
      <c r="F10">
        <v>52056703</v>
      </c>
      <c r="G10">
        <v>98774258</v>
      </c>
      <c r="T10" t="s">
        <v>30</v>
      </c>
      <c r="V10">
        <v>10500</v>
      </c>
      <c r="W10">
        <v>0</v>
      </c>
    </row>
    <row r="11" spans="1:27" x14ac:dyDescent="0.35">
      <c r="A11">
        <v>8</v>
      </c>
      <c r="B11">
        <v>1</v>
      </c>
      <c r="C11" s="1">
        <v>46234</v>
      </c>
      <c r="D11" t="s">
        <v>27</v>
      </c>
      <c r="F11">
        <v>25700503</v>
      </c>
      <c r="G11">
        <v>890903790</v>
      </c>
      <c r="T11" t="s">
        <v>30</v>
      </c>
      <c r="V11">
        <v>0</v>
      </c>
      <c r="W11">
        <f>V10</f>
        <v>10500</v>
      </c>
    </row>
    <row r="12" spans="1:27" x14ac:dyDescent="0.35">
      <c r="A12">
        <v>8</v>
      </c>
      <c r="B12">
        <v>1</v>
      </c>
      <c r="C12" s="1">
        <v>46234</v>
      </c>
      <c r="D12" t="s">
        <v>27</v>
      </c>
      <c r="F12">
        <v>52056704</v>
      </c>
      <c r="G12">
        <v>98774258</v>
      </c>
      <c r="T12" t="s">
        <v>30</v>
      </c>
      <c r="V12">
        <v>80000</v>
      </c>
      <c r="W12">
        <v>0</v>
      </c>
    </row>
    <row r="13" spans="1:27" x14ac:dyDescent="0.35">
      <c r="A13">
        <v>8</v>
      </c>
      <c r="B13">
        <v>1</v>
      </c>
      <c r="C13" s="1">
        <v>46234</v>
      </c>
      <c r="D13" t="s">
        <v>27</v>
      </c>
      <c r="F13">
        <v>25700504</v>
      </c>
      <c r="G13">
        <v>890900841</v>
      </c>
      <c r="T13" t="s">
        <v>30</v>
      </c>
      <c r="V13">
        <v>0</v>
      </c>
      <c r="W13">
        <f>V12</f>
        <v>80000</v>
      </c>
    </row>
    <row r="14" spans="1:27" x14ac:dyDescent="0.35">
      <c r="A14">
        <v>8</v>
      </c>
      <c r="B14">
        <v>1</v>
      </c>
      <c r="C14" s="1">
        <v>46234</v>
      </c>
      <c r="D14" t="s">
        <v>27</v>
      </c>
      <c r="F14">
        <v>52053001</v>
      </c>
      <c r="G14">
        <v>98774258</v>
      </c>
      <c r="T14" t="s">
        <v>31</v>
      </c>
      <c r="V14" s="2">
        <f>(V2+V4)*8.33%</f>
        <v>187349.62183000002</v>
      </c>
      <c r="W14">
        <v>0</v>
      </c>
    </row>
    <row r="15" spans="1:27" x14ac:dyDescent="0.35">
      <c r="A15">
        <v>8</v>
      </c>
      <c r="B15">
        <v>1</v>
      </c>
      <c r="C15" s="1">
        <v>46234</v>
      </c>
      <c r="D15" t="s">
        <v>27</v>
      </c>
      <c r="F15">
        <v>25101001</v>
      </c>
      <c r="G15">
        <v>98774258</v>
      </c>
      <c r="T15" t="s">
        <v>31</v>
      </c>
      <c r="V15">
        <v>0</v>
      </c>
      <c r="W15" s="2">
        <f>V14</f>
        <v>187349.62183000002</v>
      </c>
    </row>
    <row r="16" spans="1:27" x14ac:dyDescent="0.35">
      <c r="A16">
        <v>8</v>
      </c>
      <c r="B16">
        <v>1</v>
      </c>
      <c r="C16" s="1">
        <v>46234</v>
      </c>
      <c r="D16" t="s">
        <v>27</v>
      </c>
      <c r="F16">
        <v>52053002</v>
      </c>
      <c r="G16">
        <v>98774258</v>
      </c>
      <c r="T16" t="s">
        <v>31</v>
      </c>
      <c r="V16" s="2">
        <f>V14*12%</f>
        <v>22481.954619600001</v>
      </c>
      <c r="W16">
        <v>0</v>
      </c>
    </row>
    <row r="17" spans="1:23" x14ac:dyDescent="0.35">
      <c r="A17">
        <v>8</v>
      </c>
      <c r="B17">
        <v>1</v>
      </c>
      <c r="C17" s="1">
        <v>46234</v>
      </c>
      <c r="D17" t="s">
        <v>27</v>
      </c>
      <c r="F17">
        <v>25101002</v>
      </c>
      <c r="G17">
        <v>98774258</v>
      </c>
      <c r="T17" t="s">
        <v>31</v>
      </c>
      <c r="V17">
        <v>0</v>
      </c>
      <c r="W17" s="2">
        <f>V16</f>
        <v>22481.954619600001</v>
      </c>
    </row>
    <row r="18" spans="1:23" x14ac:dyDescent="0.35">
      <c r="A18">
        <v>8</v>
      </c>
      <c r="B18">
        <v>1</v>
      </c>
      <c r="C18" s="1">
        <v>46234</v>
      </c>
      <c r="D18" t="s">
        <v>27</v>
      </c>
      <c r="F18">
        <v>52053003</v>
      </c>
      <c r="G18">
        <v>98774258</v>
      </c>
      <c r="T18" t="s">
        <v>31</v>
      </c>
      <c r="V18" s="2">
        <f>V14</f>
        <v>187349.62183000002</v>
      </c>
      <c r="W18">
        <v>0</v>
      </c>
    </row>
    <row r="19" spans="1:23" x14ac:dyDescent="0.35">
      <c r="A19">
        <v>8</v>
      </c>
      <c r="B19">
        <v>1</v>
      </c>
      <c r="C19" s="1">
        <v>46234</v>
      </c>
      <c r="D19" t="s">
        <v>27</v>
      </c>
      <c r="F19">
        <v>25101003</v>
      </c>
      <c r="G19">
        <v>98774258</v>
      </c>
      <c r="T19" t="s">
        <v>31</v>
      </c>
      <c r="V19">
        <v>0</v>
      </c>
      <c r="W19" s="2">
        <f>V18</f>
        <v>187349.62183000002</v>
      </c>
    </row>
    <row r="20" spans="1:23" x14ac:dyDescent="0.35">
      <c r="A20">
        <v>8</v>
      </c>
      <c r="B20">
        <v>1</v>
      </c>
      <c r="C20" s="1">
        <v>46234</v>
      </c>
      <c r="D20" t="s">
        <v>27</v>
      </c>
      <c r="F20">
        <v>52053004</v>
      </c>
      <c r="G20">
        <v>98774258</v>
      </c>
      <c r="T20" t="s">
        <v>31</v>
      </c>
      <c r="V20">
        <f>V2*4.17%</f>
        <v>83400</v>
      </c>
      <c r="W20">
        <v>0</v>
      </c>
    </row>
    <row r="21" spans="1:23" x14ac:dyDescent="0.35">
      <c r="A21">
        <v>8</v>
      </c>
      <c r="B21">
        <v>1</v>
      </c>
      <c r="C21" s="1">
        <v>46234</v>
      </c>
      <c r="D21" t="s">
        <v>27</v>
      </c>
      <c r="F21">
        <v>25101004</v>
      </c>
      <c r="G21">
        <v>98774258</v>
      </c>
      <c r="T21" t="s">
        <v>31</v>
      </c>
      <c r="V21">
        <v>0</v>
      </c>
      <c r="W21">
        <f>V20</f>
        <v>83400</v>
      </c>
    </row>
  </sheetData>
  <pageMargins left="0.7" right="0.7" top="0.75" bottom="0.75" header="0.3" footer="0.3"/>
  <ignoredErrors>
    <ignoredError sqref="A1:AA1 D2:E2 Z2:AA2 H2:S2 U2 W2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B05D-FAE6-4E33-855B-2C3478CCA0C1}">
  <dimension ref="A1:AA21"/>
  <sheetViews>
    <sheetView workbookViewId="0">
      <selection activeCell="F1" sqref="F1"/>
    </sheetView>
  </sheetViews>
  <sheetFormatPr baseColWidth="10" defaultRowHeight="15.5" x14ac:dyDescent="0.35"/>
  <cols>
    <col min="20" max="20" width="16.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8</v>
      </c>
      <c r="B2">
        <v>1</v>
      </c>
      <c r="C2" s="1">
        <v>46234</v>
      </c>
      <c r="D2" t="s">
        <v>27</v>
      </c>
      <c r="E2" t="s">
        <v>28</v>
      </c>
      <c r="F2">
        <v>51050601</v>
      </c>
      <c r="G2">
        <v>98774258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29</v>
      </c>
      <c r="U2" t="s">
        <v>28</v>
      </c>
      <c r="V2">
        <v>2000000</v>
      </c>
      <c r="W2">
        <v>0</v>
      </c>
      <c r="Z2" t="s">
        <v>28</v>
      </c>
      <c r="AA2" t="s">
        <v>28</v>
      </c>
    </row>
    <row r="3" spans="1:27" x14ac:dyDescent="0.35">
      <c r="A3">
        <v>8</v>
      </c>
      <c r="B3">
        <v>1</v>
      </c>
      <c r="C3" s="1">
        <v>46234</v>
      </c>
      <c r="D3" t="s">
        <v>27</v>
      </c>
      <c r="F3">
        <v>51050602</v>
      </c>
      <c r="G3">
        <v>98774258</v>
      </c>
      <c r="T3" t="s">
        <v>29</v>
      </c>
      <c r="V3">
        <f>ROUNDDOWN(V2*40%,-3)</f>
        <v>800000</v>
      </c>
      <c r="W3">
        <v>0</v>
      </c>
    </row>
    <row r="4" spans="1:27" x14ac:dyDescent="0.35">
      <c r="A4">
        <v>8</v>
      </c>
      <c r="B4">
        <v>1</v>
      </c>
      <c r="C4" s="1">
        <v>46234</v>
      </c>
      <c r="D4" t="s">
        <v>27</v>
      </c>
      <c r="F4">
        <v>51051701</v>
      </c>
      <c r="G4">
        <v>98774258</v>
      </c>
      <c r="T4" t="s">
        <v>29</v>
      </c>
      <c r="V4" s="2">
        <f>8303.17*30</f>
        <v>249095.1</v>
      </c>
      <c r="W4">
        <v>0</v>
      </c>
    </row>
    <row r="5" spans="1:27" x14ac:dyDescent="0.35">
      <c r="A5">
        <v>8</v>
      </c>
      <c r="B5">
        <v>1</v>
      </c>
      <c r="C5" s="1">
        <v>46234</v>
      </c>
      <c r="D5" t="s">
        <v>27</v>
      </c>
      <c r="F5">
        <v>25700501</v>
      </c>
      <c r="G5">
        <v>98774258</v>
      </c>
      <c r="T5" t="s">
        <v>29</v>
      </c>
      <c r="V5">
        <v>0</v>
      </c>
      <c r="W5">
        <f>V2*4%</f>
        <v>80000</v>
      </c>
    </row>
    <row r="6" spans="1:27" x14ac:dyDescent="0.35">
      <c r="A6">
        <v>8</v>
      </c>
      <c r="B6">
        <v>1</v>
      </c>
      <c r="C6" s="1">
        <v>46234</v>
      </c>
      <c r="D6" t="s">
        <v>27</v>
      </c>
      <c r="F6">
        <v>25700502</v>
      </c>
      <c r="G6">
        <v>98774258</v>
      </c>
      <c r="T6" t="s">
        <v>29</v>
      </c>
      <c r="V6">
        <v>0</v>
      </c>
      <c r="W6">
        <f>V2*4%</f>
        <v>80000</v>
      </c>
    </row>
    <row r="7" spans="1:27" x14ac:dyDescent="0.35">
      <c r="A7">
        <v>8</v>
      </c>
      <c r="B7">
        <v>1</v>
      </c>
      <c r="C7" s="1">
        <v>46234</v>
      </c>
      <c r="D7" t="s">
        <v>27</v>
      </c>
      <c r="F7">
        <v>25050501</v>
      </c>
      <c r="G7">
        <v>98774258</v>
      </c>
      <c r="T7" t="s">
        <v>29</v>
      </c>
      <c r="V7">
        <v>0</v>
      </c>
      <c r="W7" s="2">
        <f>V2+V3+V4-W5-W6</f>
        <v>2889095.1</v>
      </c>
    </row>
    <row r="8" spans="1:27" x14ac:dyDescent="0.35">
      <c r="A8">
        <v>8</v>
      </c>
      <c r="B8">
        <v>1</v>
      </c>
      <c r="C8" s="1">
        <v>46234</v>
      </c>
      <c r="D8" t="s">
        <v>27</v>
      </c>
      <c r="F8">
        <v>51056702</v>
      </c>
      <c r="G8">
        <v>98774258</v>
      </c>
      <c r="T8" t="s">
        <v>30</v>
      </c>
      <c r="V8">
        <f>V2*12%</f>
        <v>240000</v>
      </c>
      <c r="W8">
        <v>0</v>
      </c>
    </row>
    <row r="9" spans="1:27" x14ac:dyDescent="0.35">
      <c r="A9">
        <v>8</v>
      </c>
      <c r="B9">
        <v>1</v>
      </c>
      <c r="C9" s="1">
        <v>46234</v>
      </c>
      <c r="D9" t="s">
        <v>27</v>
      </c>
      <c r="F9">
        <v>25700502</v>
      </c>
      <c r="G9">
        <v>901465677</v>
      </c>
      <c r="T9" t="s">
        <v>30</v>
      </c>
      <c r="V9">
        <v>0</v>
      </c>
      <c r="W9">
        <f>V8</f>
        <v>240000</v>
      </c>
    </row>
    <row r="10" spans="1:27" x14ac:dyDescent="0.35">
      <c r="A10">
        <v>8</v>
      </c>
      <c r="B10">
        <v>1</v>
      </c>
      <c r="C10" s="1">
        <v>46234</v>
      </c>
      <c r="D10" t="s">
        <v>27</v>
      </c>
      <c r="F10">
        <v>51056703</v>
      </c>
      <c r="G10">
        <v>98774258</v>
      </c>
      <c r="T10" t="s">
        <v>30</v>
      </c>
      <c r="V10">
        <v>10500</v>
      </c>
      <c r="W10">
        <v>0</v>
      </c>
    </row>
    <row r="11" spans="1:27" x14ac:dyDescent="0.35">
      <c r="A11">
        <v>8</v>
      </c>
      <c r="B11">
        <v>1</v>
      </c>
      <c r="C11" s="1">
        <v>46234</v>
      </c>
      <c r="D11" t="s">
        <v>27</v>
      </c>
      <c r="F11">
        <v>25700503</v>
      </c>
      <c r="G11">
        <v>890903790</v>
      </c>
      <c r="T11" t="s">
        <v>30</v>
      </c>
      <c r="V11">
        <v>0</v>
      </c>
      <c r="W11">
        <f>V10</f>
        <v>10500</v>
      </c>
    </row>
    <row r="12" spans="1:27" x14ac:dyDescent="0.35">
      <c r="A12">
        <v>8</v>
      </c>
      <c r="B12">
        <v>1</v>
      </c>
      <c r="C12" s="1">
        <v>46234</v>
      </c>
      <c r="D12" t="s">
        <v>27</v>
      </c>
      <c r="F12">
        <v>51056704</v>
      </c>
      <c r="G12">
        <v>98774258</v>
      </c>
      <c r="T12" t="s">
        <v>30</v>
      </c>
      <c r="V12">
        <v>80000</v>
      </c>
      <c r="W12">
        <v>0</v>
      </c>
    </row>
    <row r="13" spans="1:27" x14ac:dyDescent="0.35">
      <c r="A13">
        <v>8</v>
      </c>
      <c r="B13">
        <v>1</v>
      </c>
      <c r="C13" s="1">
        <v>46234</v>
      </c>
      <c r="D13" t="s">
        <v>27</v>
      </c>
      <c r="F13">
        <v>25700504</v>
      </c>
      <c r="G13">
        <v>890900841</v>
      </c>
      <c r="T13" t="s">
        <v>30</v>
      </c>
      <c r="V13">
        <v>0</v>
      </c>
      <c r="W13">
        <f>V12</f>
        <v>80000</v>
      </c>
    </row>
    <row r="14" spans="1:27" x14ac:dyDescent="0.35">
      <c r="A14">
        <v>8</v>
      </c>
      <c r="B14">
        <v>1</v>
      </c>
      <c r="C14" s="1">
        <v>46234</v>
      </c>
      <c r="D14" t="s">
        <v>27</v>
      </c>
      <c r="F14">
        <v>51053001</v>
      </c>
      <c r="G14">
        <v>98774258</v>
      </c>
      <c r="T14" t="s">
        <v>31</v>
      </c>
      <c r="V14" s="2">
        <f>(V2+V4)*8.33%</f>
        <v>187349.62183000002</v>
      </c>
      <c r="W14">
        <v>0</v>
      </c>
    </row>
    <row r="15" spans="1:27" x14ac:dyDescent="0.35">
      <c r="A15">
        <v>8</v>
      </c>
      <c r="B15">
        <v>1</v>
      </c>
      <c r="C15" s="1">
        <v>46234</v>
      </c>
      <c r="D15" t="s">
        <v>27</v>
      </c>
      <c r="F15">
        <v>25101001</v>
      </c>
      <c r="G15">
        <v>98774258</v>
      </c>
      <c r="T15" t="s">
        <v>31</v>
      </c>
      <c r="V15">
        <v>0</v>
      </c>
      <c r="W15" s="2">
        <f>V14</f>
        <v>187349.62183000002</v>
      </c>
    </row>
    <row r="16" spans="1:27" x14ac:dyDescent="0.35">
      <c r="A16">
        <v>8</v>
      </c>
      <c r="B16">
        <v>1</v>
      </c>
      <c r="C16" s="1">
        <v>46234</v>
      </c>
      <c r="D16" t="s">
        <v>27</v>
      </c>
      <c r="F16">
        <v>51053002</v>
      </c>
      <c r="G16">
        <v>98774258</v>
      </c>
      <c r="T16" t="s">
        <v>31</v>
      </c>
      <c r="V16" s="2">
        <f>V14*12%</f>
        <v>22481.954619600001</v>
      </c>
      <c r="W16">
        <v>0</v>
      </c>
    </row>
    <row r="17" spans="1:23" x14ac:dyDescent="0.35">
      <c r="A17">
        <v>8</v>
      </c>
      <c r="B17">
        <v>1</v>
      </c>
      <c r="C17" s="1">
        <v>46234</v>
      </c>
      <c r="D17" t="s">
        <v>27</v>
      </c>
      <c r="F17">
        <v>25101002</v>
      </c>
      <c r="G17">
        <v>98774258</v>
      </c>
      <c r="T17" t="s">
        <v>31</v>
      </c>
      <c r="V17">
        <v>0</v>
      </c>
      <c r="W17" s="2">
        <f>V16</f>
        <v>22481.954619600001</v>
      </c>
    </row>
    <row r="18" spans="1:23" x14ac:dyDescent="0.35">
      <c r="A18">
        <v>8</v>
      </c>
      <c r="B18">
        <v>1</v>
      </c>
      <c r="C18" s="1">
        <v>46234</v>
      </c>
      <c r="D18" t="s">
        <v>27</v>
      </c>
      <c r="F18">
        <v>51053003</v>
      </c>
      <c r="G18">
        <v>98774258</v>
      </c>
      <c r="T18" t="s">
        <v>31</v>
      </c>
      <c r="V18" s="2">
        <f>V14</f>
        <v>187349.62183000002</v>
      </c>
      <c r="W18">
        <v>0</v>
      </c>
    </row>
    <row r="19" spans="1:23" x14ac:dyDescent="0.35">
      <c r="A19">
        <v>8</v>
      </c>
      <c r="B19">
        <v>1</v>
      </c>
      <c r="C19" s="1">
        <v>46234</v>
      </c>
      <c r="D19" t="s">
        <v>27</v>
      </c>
      <c r="F19">
        <v>25101003</v>
      </c>
      <c r="G19">
        <v>98774258</v>
      </c>
      <c r="T19" t="s">
        <v>31</v>
      </c>
      <c r="V19">
        <v>0</v>
      </c>
      <c r="W19" s="2">
        <f>V18</f>
        <v>187349.62183000002</v>
      </c>
    </row>
    <row r="20" spans="1:23" x14ac:dyDescent="0.35">
      <c r="A20">
        <v>8</v>
      </c>
      <c r="B20">
        <v>1</v>
      </c>
      <c r="C20" s="1">
        <v>46234</v>
      </c>
      <c r="D20" t="s">
        <v>27</v>
      </c>
      <c r="F20">
        <v>51053004</v>
      </c>
      <c r="G20">
        <v>98774258</v>
      </c>
      <c r="T20" t="s">
        <v>31</v>
      </c>
      <c r="V20">
        <f>V2*4.17%</f>
        <v>83400</v>
      </c>
      <c r="W20">
        <v>0</v>
      </c>
    </row>
    <row r="21" spans="1:23" x14ac:dyDescent="0.35">
      <c r="A21">
        <v>8</v>
      </c>
      <c r="B21">
        <v>1</v>
      </c>
      <c r="C21" s="1">
        <v>46234</v>
      </c>
      <c r="D21" t="s">
        <v>27</v>
      </c>
      <c r="F21">
        <v>25101004</v>
      </c>
      <c r="G21">
        <v>98774258</v>
      </c>
      <c r="T21" t="s">
        <v>31</v>
      </c>
      <c r="V21">
        <v>0</v>
      </c>
      <c r="W21">
        <f>V20</f>
        <v>83400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C824-EC27-4631-BA73-B39C86EF7DB3}">
  <dimension ref="A1:AA21"/>
  <sheetViews>
    <sheetView workbookViewId="0">
      <selection sqref="A1:XFD1048576"/>
    </sheetView>
  </sheetViews>
  <sheetFormatPr baseColWidth="10" defaultRowHeight="15.5" x14ac:dyDescent="0.35"/>
  <cols>
    <col min="20" max="20" width="16.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8</v>
      </c>
      <c r="B2">
        <v>1</v>
      </c>
      <c r="C2" s="1">
        <v>46234</v>
      </c>
      <c r="D2" t="s">
        <v>27</v>
      </c>
      <c r="E2" t="s">
        <v>28</v>
      </c>
      <c r="F2">
        <v>52050601</v>
      </c>
      <c r="G2">
        <v>98774258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29</v>
      </c>
      <c r="U2" t="s">
        <v>28</v>
      </c>
      <c r="V2">
        <v>2000000</v>
      </c>
      <c r="W2">
        <v>0</v>
      </c>
      <c r="Z2" t="s">
        <v>28</v>
      </c>
      <c r="AA2" t="s">
        <v>28</v>
      </c>
    </row>
    <row r="3" spans="1:27" x14ac:dyDescent="0.35">
      <c r="A3">
        <v>8</v>
      </c>
      <c r="B3">
        <v>1</v>
      </c>
      <c r="C3" s="1">
        <v>46234</v>
      </c>
      <c r="D3" t="s">
        <v>27</v>
      </c>
      <c r="F3">
        <v>52050602</v>
      </c>
      <c r="G3">
        <v>98774258</v>
      </c>
      <c r="T3" t="s">
        <v>29</v>
      </c>
      <c r="V3">
        <f>ROUNDDOWN(V2*40%,-3)</f>
        <v>800000</v>
      </c>
      <c r="W3">
        <v>0</v>
      </c>
    </row>
    <row r="4" spans="1:27" x14ac:dyDescent="0.35">
      <c r="A4">
        <v>8</v>
      </c>
      <c r="B4">
        <v>1</v>
      </c>
      <c r="C4" s="1">
        <v>46234</v>
      </c>
      <c r="D4" t="s">
        <v>27</v>
      </c>
      <c r="F4">
        <v>52052701</v>
      </c>
      <c r="G4">
        <v>98774258</v>
      </c>
      <c r="T4" t="s">
        <v>29</v>
      </c>
      <c r="V4" s="2">
        <f>8303.17*30</f>
        <v>249095.1</v>
      </c>
      <c r="W4">
        <v>0</v>
      </c>
    </row>
    <row r="5" spans="1:27" x14ac:dyDescent="0.35">
      <c r="A5">
        <v>8</v>
      </c>
      <c r="B5">
        <v>1</v>
      </c>
      <c r="C5" s="1">
        <v>46234</v>
      </c>
      <c r="D5" t="s">
        <v>27</v>
      </c>
      <c r="F5">
        <v>25700501</v>
      </c>
      <c r="G5">
        <v>98774258</v>
      </c>
      <c r="T5" t="s">
        <v>29</v>
      </c>
      <c r="V5">
        <v>0</v>
      </c>
      <c r="W5">
        <f>V2*4%</f>
        <v>80000</v>
      </c>
    </row>
    <row r="6" spans="1:27" x14ac:dyDescent="0.35">
      <c r="A6">
        <v>8</v>
      </c>
      <c r="B6">
        <v>1</v>
      </c>
      <c r="C6" s="1">
        <v>46234</v>
      </c>
      <c r="D6" t="s">
        <v>27</v>
      </c>
      <c r="F6">
        <v>25700502</v>
      </c>
      <c r="G6">
        <v>98774258</v>
      </c>
      <c r="T6" t="s">
        <v>29</v>
      </c>
      <c r="V6">
        <v>0</v>
      </c>
      <c r="W6">
        <f>V2*4%</f>
        <v>80000</v>
      </c>
    </row>
    <row r="7" spans="1:27" x14ac:dyDescent="0.35">
      <c r="A7">
        <v>8</v>
      </c>
      <c r="B7">
        <v>1</v>
      </c>
      <c r="C7" s="1">
        <v>46234</v>
      </c>
      <c r="D7" t="s">
        <v>27</v>
      </c>
      <c r="F7">
        <v>25050501</v>
      </c>
      <c r="G7">
        <v>98774258</v>
      </c>
      <c r="T7" t="s">
        <v>29</v>
      </c>
      <c r="V7">
        <v>0</v>
      </c>
      <c r="W7" s="2">
        <f>V2+V3+V4-W5-W6</f>
        <v>2889095.1</v>
      </c>
    </row>
    <row r="8" spans="1:27" x14ac:dyDescent="0.35">
      <c r="A8">
        <v>8</v>
      </c>
      <c r="B8">
        <v>1</v>
      </c>
      <c r="C8" s="1">
        <v>46234</v>
      </c>
      <c r="D8" t="s">
        <v>27</v>
      </c>
      <c r="F8">
        <v>52056702</v>
      </c>
      <c r="G8">
        <v>98774258</v>
      </c>
      <c r="T8" t="s">
        <v>30</v>
      </c>
      <c r="V8">
        <f>V2*12%</f>
        <v>240000</v>
      </c>
      <c r="W8">
        <v>0</v>
      </c>
    </row>
    <row r="9" spans="1:27" x14ac:dyDescent="0.35">
      <c r="A9">
        <v>8</v>
      </c>
      <c r="B9">
        <v>1</v>
      </c>
      <c r="C9" s="1">
        <v>46234</v>
      </c>
      <c r="D9" t="s">
        <v>27</v>
      </c>
      <c r="F9">
        <v>25700502</v>
      </c>
      <c r="G9">
        <v>901465677</v>
      </c>
      <c r="T9" t="s">
        <v>30</v>
      </c>
      <c r="V9">
        <v>0</v>
      </c>
      <c r="W9">
        <f>V8</f>
        <v>240000</v>
      </c>
    </row>
    <row r="10" spans="1:27" x14ac:dyDescent="0.35">
      <c r="A10">
        <v>8</v>
      </c>
      <c r="B10">
        <v>1</v>
      </c>
      <c r="C10" s="1">
        <v>46234</v>
      </c>
      <c r="D10" t="s">
        <v>27</v>
      </c>
      <c r="F10">
        <v>52056703</v>
      </c>
      <c r="G10">
        <v>98774258</v>
      </c>
      <c r="T10" t="s">
        <v>30</v>
      </c>
      <c r="V10">
        <v>10500</v>
      </c>
      <c r="W10">
        <v>0</v>
      </c>
    </row>
    <row r="11" spans="1:27" x14ac:dyDescent="0.35">
      <c r="A11">
        <v>8</v>
      </c>
      <c r="B11">
        <v>1</v>
      </c>
      <c r="C11" s="1">
        <v>46234</v>
      </c>
      <c r="D11" t="s">
        <v>27</v>
      </c>
      <c r="F11">
        <v>25700503</v>
      </c>
      <c r="G11">
        <v>890903790</v>
      </c>
      <c r="T11" t="s">
        <v>30</v>
      </c>
      <c r="V11">
        <v>0</v>
      </c>
      <c r="W11">
        <f>V10</f>
        <v>10500</v>
      </c>
    </row>
    <row r="12" spans="1:27" x14ac:dyDescent="0.35">
      <c r="A12">
        <v>8</v>
      </c>
      <c r="B12">
        <v>1</v>
      </c>
      <c r="C12" s="1">
        <v>46234</v>
      </c>
      <c r="D12" t="s">
        <v>27</v>
      </c>
      <c r="F12">
        <v>52056704</v>
      </c>
      <c r="G12">
        <v>98774258</v>
      </c>
      <c r="T12" t="s">
        <v>30</v>
      </c>
      <c r="V12">
        <v>80000</v>
      </c>
      <c r="W12">
        <v>0</v>
      </c>
    </row>
    <row r="13" spans="1:27" x14ac:dyDescent="0.35">
      <c r="A13">
        <v>8</v>
      </c>
      <c r="B13">
        <v>1</v>
      </c>
      <c r="C13" s="1">
        <v>46234</v>
      </c>
      <c r="D13" t="s">
        <v>27</v>
      </c>
      <c r="F13">
        <v>25700504</v>
      </c>
      <c r="G13">
        <v>890900841</v>
      </c>
      <c r="T13" t="s">
        <v>30</v>
      </c>
      <c r="V13">
        <v>0</v>
      </c>
      <c r="W13">
        <f>V12</f>
        <v>80000</v>
      </c>
    </row>
    <row r="14" spans="1:27" x14ac:dyDescent="0.35">
      <c r="A14">
        <v>8</v>
      </c>
      <c r="B14">
        <v>1</v>
      </c>
      <c r="C14" s="1">
        <v>46234</v>
      </c>
      <c r="D14" t="s">
        <v>27</v>
      </c>
      <c r="F14">
        <v>52053001</v>
      </c>
      <c r="G14">
        <v>98774258</v>
      </c>
      <c r="T14" t="s">
        <v>31</v>
      </c>
      <c r="V14" s="2">
        <f>(V2+V4)*8.33%</f>
        <v>187349.62183000002</v>
      </c>
      <c r="W14">
        <v>0</v>
      </c>
    </row>
    <row r="15" spans="1:27" x14ac:dyDescent="0.35">
      <c r="A15">
        <v>8</v>
      </c>
      <c r="B15">
        <v>1</v>
      </c>
      <c r="C15" s="1">
        <v>46234</v>
      </c>
      <c r="D15" t="s">
        <v>27</v>
      </c>
      <c r="F15">
        <v>25101001</v>
      </c>
      <c r="G15">
        <v>98774258</v>
      </c>
      <c r="T15" t="s">
        <v>31</v>
      </c>
      <c r="V15">
        <v>0</v>
      </c>
      <c r="W15" s="2">
        <f>V14</f>
        <v>187349.62183000002</v>
      </c>
    </row>
    <row r="16" spans="1:27" x14ac:dyDescent="0.35">
      <c r="A16">
        <v>8</v>
      </c>
      <c r="B16">
        <v>1</v>
      </c>
      <c r="C16" s="1">
        <v>46234</v>
      </c>
      <c r="D16" t="s">
        <v>27</v>
      </c>
      <c r="F16">
        <v>52053002</v>
      </c>
      <c r="G16">
        <v>98774258</v>
      </c>
      <c r="T16" t="s">
        <v>31</v>
      </c>
      <c r="V16" s="2">
        <f>V14*12%</f>
        <v>22481.954619600001</v>
      </c>
      <c r="W16">
        <v>0</v>
      </c>
    </row>
    <row r="17" spans="1:23" x14ac:dyDescent="0.35">
      <c r="A17">
        <v>8</v>
      </c>
      <c r="B17">
        <v>1</v>
      </c>
      <c r="C17" s="1">
        <v>46234</v>
      </c>
      <c r="D17" t="s">
        <v>27</v>
      </c>
      <c r="F17">
        <v>25101002</v>
      </c>
      <c r="G17">
        <v>98774258</v>
      </c>
      <c r="T17" t="s">
        <v>31</v>
      </c>
      <c r="V17">
        <v>0</v>
      </c>
      <c r="W17" s="2">
        <f>V16</f>
        <v>22481.954619600001</v>
      </c>
    </row>
    <row r="18" spans="1:23" x14ac:dyDescent="0.35">
      <c r="A18">
        <v>8</v>
      </c>
      <c r="B18">
        <v>1</v>
      </c>
      <c r="C18" s="1">
        <v>46234</v>
      </c>
      <c r="D18" t="s">
        <v>27</v>
      </c>
      <c r="F18">
        <v>52053003</v>
      </c>
      <c r="G18">
        <v>98774258</v>
      </c>
      <c r="T18" t="s">
        <v>31</v>
      </c>
      <c r="V18" s="2">
        <f>V14</f>
        <v>187349.62183000002</v>
      </c>
      <c r="W18">
        <v>0</v>
      </c>
    </row>
    <row r="19" spans="1:23" x14ac:dyDescent="0.35">
      <c r="A19">
        <v>8</v>
      </c>
      <c r="B19">
        <v>1</v>
      </c>
      <c r="C19" s="1">
        <v>46234</v>
      </c>
      <c r="D19" t="s">
        <v>27</v>
      </c>
      <c r="F19">
        <v>25101003</v>
      </c>
      <c r="G19">
        <v>98774258</v>
      </c>
      <c r="T19" t="s">
        <v>31</v>
      </c>
      <c r="V19">
        <v>0</v>
      </c>
      <c r="W19" s="2">
        <f>V18</f>
        <v>187349.62183000002</v>
      </c>
    </row>
    <row r="20" spans="1:23" x14ac:dyDescent="0.35">
      <c r="A20">
        <v>8</v>
      </c>
      <c r="B20">
        <v>1</v>
      </c>
      <c r="C20" s="1">
        <v>46234</v>
      </c>
      <c r="D20" t="s">
        <v>27</v>
      </c>
      <c r="F20">
        <v>52053004</v>
      </c>
      <c r="G20">
        <v>98774258</v>
      </c>
      <c r="T20" t="s">
        <v>31</v>
      </c>
      <c r="V20">
        <f>V2*4.17%</f>
        <v>83400</v>
      </c>
      <c r="W20">
        <v>0</v>
      </c>
    </row>
    <row r="21" spans="1:23" x14ac:dyDescent="0.35">
      <c r="A21">
        <v>8</v>
      </c>
      <c r="B21">
        <v>1</v>
      </c>
      <c r="C21" s="1">
        <v>46234</v>
      </c>
      <c r="D21" t="s">
        <v>27</v>
      </c>
      <c r="F21">
        <v>25101004</v>
      </c>
      <c r="G21">
        <v>98774258</v>
      </c>
      <c r="T21" t="s">
        <v>31</v>
      </c>
      <c r="V21">
        <v>0</v>
      </c>
      <c r="W21">
        <f>V20</f>
        <v>83400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16AF-9E19-4A4D-9D90-7A4086E334AA}">
  <dimension ref="A1:AA21"/>
  <sheetViews>
    <sheetView workbookViewId="0">
      <selection activeCell="B8" sqref="B8"/>
    </sheetView>
  </sheetViews>
  <sheetFormatPr baseColWidth="10" defaultRowHeight="15.5" x14ac:dyDescent="0.35"/>
  <cols>
    <col min="20" max="20" width="16.7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8</v>
      </c>
      <c r="B2">
        <v>1</v>
      </c>
      <c r="C2" s="1">
        <v>46234</v>
      </c>
      <c r="D2" t="s">
        <v>27</v>
      </c>
      <c r="E2" t="s">
        <v>28</v>
      </c>
      <c r="F2">
        <v>72050601</v>
      </c>
      <c r="G2">
        <v>98774258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29</v>
      </c>
      <c r="U2" t="s">
        <v>28</v>
      </c>
      <c r="V2">
        <v>2000000</v>
      </c>
      <c r="W2">
        <v>0</v>
      </c>
      <c r="Z2" t="s">
        <v>28</v>
      </c>
      <c r="AA2" t="s">
        <v>28</v>
      </c>
    </row>
    <row r="3" spans="1:27" x14ac:dyDescent="0.35">
      <c r="A3">
        <v>8</v>
      </c>
      <c r="B3">
        <v>1</v>
      </c>
      <c r="C3" s="1">
        <v>46234</v>
      </c>
      <c r="D3" t="s">
        <v>27</v>
      </c>
      <c r="F3">
        <v>72050602</v>
      </c>
      <c r="G3">
        <v>98774258</v>
      </c>
      <c r="T3" t="s">
        <v>29</v>
      </c>
      <c r="V3">
        <f>ROUNDDOWN(V2*40%,-3)</f>
        <v>800000</v>
      </c>
      <c r="W3">
        <v>0</v>
      </c>
    </row>
    <row r="4" spans="1:27" x14ac:dyDescent="0.35">
      <c r="A4">
        <v>8</v>
      </c>
      <c r="B4">
        <v>1</v>
      </c>
      <c r="C4" s="1">
        <v>46234</v>
      </c>
      <c r="D4" t="s">
        <v>27</v>
      </c>
      <c r="F4">
        <v>72072701</v>
      </c>
      <c r="G4">
        <v>98774258</v>
      </c>
      <c r="T4" t="s">
        <v>29</v>
      </c>
      <c r="V4" s="2">
        <f>8303.17*30</f>
        <v>249095.1</v>
      </c>
      <c r="W4">
        <v>0</v>
      </c>
    </row>
    <row r="5" spans="1:27" x14ac:dyDescent="0.35">
      <c r="A5">
        <v>8</v>
      </c>
      <c r="B5">
        <v>1</v>
      </c>
      <c r="C5" s="1">
        <v>46234</v>
      </c>
      <c r="D5" t="s">
        <v>27</v>
      </c>
      <c r="F5">
        <v>25700501</v>
      </c>
      <c r="G5">
        <v>98774258</v>
      </c>
      <c r="T5" t="s">
        <v>29</v>
      </c>
      <c r="V5">
        <v>0</v>
      </c>
      <c r="W5">
        <f>V2*4%</f>
        <v>80000</v>
      </c>
    </row>
    <row r="6" spans="1:27" x14ac:dyDescent="0.35">
      <c r="A6">
        <v>8</v>
      </c>
      <c r="B6">
        <v>1</v>
      </c>
      <c r="C6" s="1">
        <v>46234</v>
      </c>
      <c r="D6" t="s">
        <v>27</v>
      </c>
      <c r="F6">
        <v>25700502</v>
      </c>
      <c r="G6">
        <v>98774258</v>
      </c>
      <c r="T6" t="s">
        <v>29</v>
      </c>
      <c r="V6">
        <v>0</v>
      </c>
      <c r="W6">
        <f>V2*4%</f>
        <v>80000</v>
      </c>
    </row>
    <row r="7" spans="1:27" x14ac:dyDescent="0.35">
      <c r="A7">
        <v>8</v>
      </c>
      <c r="B7">
        <v>1</v>
      </c>
      <c r="C7" s="1">
        <v>46234</v>
      </c>
      <c r="D7" t="s">
        <v>27</v>
      </c>
      <c r="F7">
        <v>25050501</v>
      </c>
      <c r="G7">
        <v>98774258</v>
      </c>
      <c r="T7" t="s">
        <v>29</v>
      </c>
      <c r="V7">
        <v>0</v>
      </c>
      <c r="W7" s="2">
        <f>V2+V3+V4-W5-W6</f>
        <v>2889095.1</v>
      </c>
    </row>
    <row r="8" spans="1:27" x14ac:dyDescent="0.35">
      <c r="A8">
        <v>8</v>
      </c>
      <c r="B8">
        <v>1</v>
      </c>
      <c r="C8" s="1">
        <v>46234</v>
      </c>
      <c r="D8" t="s">
        <v>27</v>
      </c>
      <c r="F8">
        <v>72056702</v>
      </c>
      <c r="G8">
        <v>98774258</v>
      </c>
      <c r="T8" t="s">
        <v>30</v>
      </c>
      <c r="V8">
        <f>V2*12%</f>
        <v>240000</v>
      </c>
      <c r="W8">
        <v>0</v>
      </c>
    </row>
    <row r="9" spans="1:27" x14ac:dyDescent="0.35">
      <c r="A9">
        <v>8</v>
      </c>
      <c r="B9">
        <v>1</v>
      </c>
      <c r="C9" s="1">
        <v>46234</v>
      </c>
      <c r="D9" t="s">
        <v>27</v>
      </c>
      <c r="F9">
        <v>25700502</v>
      </c>
      <c r="G9">
        <v>901465677</v>
      </c>
      <c r="T9" t="s">
        <v>30</v>
      </c>
      <c r="V9">
        <v>0</v>
      </c>
      <c r="W9">
        <f>V8</f>
        <v>240000</v>
      </c>
    </row>
    <row r="10" spans="1:27" x14ac:dyDescent="0.35">
      <c r="A10">
        <v>8</v>
      </c>
      <c r="B10">
        <v>1</v>
      </c>
      <c r="C10" s="1">
        <v>46234</v>
      </c>
      <c r="D10" t="s">
        <v>27</v>
      </c>
      <c r="F10">
        <v>72056703</v>
      </c>
      <c r="G10">
        <v>98774258</v>
      </c>
      <c r="T10" t="s">
        <v>30</v>
      </c>
      <c r="V10">
        <v>10500</v>
      </c>
      <c r="W10">
        <v>0</v>
      </c>
    </row>
    <row r="11" spans="1:27" x14ac:dyDescent="0.35">
      <c r="A11">
        <v>8</v>
      </c>
      <c r="B11">
        <v>1</v>
      </c>
      <c r="C11" s="1">
        <v>46234</v>
      </c>
      <c r="D11" t="s">
        <v>27</v>
      </c>
      <c r="F11">
        <v>25700503</v>
      </c>
      <c r="G11">
        <v>890903790</v>
      </c>
      <c r="T11" t="s">
        <v>30</v>
      </c>
      <c r="V11">
        <v>0</v>
      </c>
      <c r="W11">
        <f>V10</f>
        <v>10500</v>
      </c>
    </row>
    <row r="12" spans="1:27" x14ac:dyDescent="0.35">
      <c r="A12">
        <v>8</v>
      </c>
      <c r="B12">
        <v>1</v>
      </c>
      <c r="C12" s="1">
        <v>46234</v>
      </c>
      <c r="D12" t="s">
        <v>27</v>
      </c>
      <c r="F12">
        <v>72056704</v>
      </c>
      <c r="G12">
        <v>98774258</v>
      </c>
      <c r="T12" t="s">
        <v>30</v>
      </c>
      <c r="V12">
        <v>80000</v>
      </c>
      <c r="W12">
        <v>0</v>
      </c>
    </row>
    <row r="13" spans="1:27" x14ac:dyDescent="0.35">
      <c r="A13">
        <v>8</v>
      </c>
      <c r="B13">
        <v>1</v>
      </c>
      <c r="C13" s="1">
        <v>46234</v>
      </c>
      <c r="D13" t="s">
        <v>27</v>
      </c>
      <c r="F13">
        <v>25700504</v>
      </c>
      <c r="G13">
        <v>890900841</v>
      </c>
      <c r="T13" t="s">
        <v>30</v>
      </c>
      <c r="V13">
        <v>0</v>
      </c>
      <c r="W13">
        <f>V12</f>
        <v>80000</v>
      </c>
    </row>
    <row r="14" spans="1:27" x14ac:dyDescent="0.35">
      <c r="A14">
        <v>8</v>
      </c>
      <c r="B14">
        <v>1</v>
      </c>
      <c r="C14" s="1">
        <v>46234</v>
      </c>
      <c r="D14" t="s">
        <v>27</v>
      </c>
      <c r="F14">
        <v>72053001</v>
      </c>
      <c r="G14">
        <v>98774258</v>
      </c>
      <c r="T14" t="s">
        <v>31</v>
      </c>
      <c r="V14" s="2">
        <f>(V2+V4)*8.33%</f>
        <v>187349.62183000002</v>
      </c>
      <c r="W14">
        <v>0</v>
      </c>
    </row>
    <row r="15" spans="1:27" x14ac:dyDescent="0.35">
      <c r="A15">
        <v>8</v>
      </c>
      <c r="B15">
        <v>1</v>
      </c>
      <c r="C15" s="1">
        <v>46234</v>
      </c>
      <c r="D15" t="s">
        <v>27</v>
      </c>
      <c r="F15">
        <v>25101001</v>
      </c>
      <c r="G15">
        <v>98774258</v>
      </c>
      <c r="T15" t="s">
        <v>31</v>
      </c>
      <c r="V15">
        <v>0</v>
      </c>
      <c r="W15" s="2">
        <f>V14</f>
        <v>187349.62183000002</v>
      </c>
    </row>
    <row r="16" spans="1:27" x14ac:dyDescent="0.35">
      <c r="A16">
        <v>8</v>
      </c>
      <c r="B16">
        <v>1</v>
      </c>
      <c r="C16" s="1">
        <v>46234</v>
      </c>
      <c r="D16" t="s">
        <v>27</v>
      </c>
      <c r="F16">
        <v>72053002</v>
      </c>
      <c r="G16">
        <v>98774258</v>
      </c>
      <c r="T16" t="s">
        <v>31</v>
      </c>
      <c r="V16" s="2">
        <f>V14*12%</f>
        <v>22481.954619600001</v>
      </c>
      <c r="W16">
        <v>0</v>
      </c>
    </row>
    <row r="17" spans="1:23" x14ac:dyDescent="0.35">
      <c r="A17">
        <v>8</v>
      </c>
      <c r="B17">
        <v>1</v>
      </c>
      <c r="C17" s="1">
        <v>46234</v>
      </c>
      <c r="D17" t="s">
        <v>27</v>
      </c>
      <c r="F17">
        <v>25101002</v>
      </c>
      <c r="G17">
        <v>98774258</v>
      </c>
      <c r="T17" t="s">
        <v>31</v>
      </c>
      <c r="V17">
        <v>0</v>
      </c>
      <c r="W17" s="2">
        <f>V16</f>
        <v>22481.954619600001</v>
      </c>
    </row>
    <row r="18" spans="1:23" x14ac:dyDescent="0.35">
      <c r="A18">
        <v>8</v>
      </c>
      <c r="B18">
        <v>1</v>
      </c>
      <c r="C18" s="1">
        <v>46234</v>
      </c>
      <c r="D18" t="s">
        <v>27</v>
      </c>
      <c r="F18">
        <v>72053003</v>
      </c>
      <c r="G18">
        <v>98774258</v>
      </c>
      <c r="T18" t="s">
        <v>31</v>
      </c>
      <c r="V18" s="2">
        <f>V14</f>
        <v>187349.62183000002</v>
      </c>
      <c r="W18">
        <v>0</v>
      </c>
    </row>
    <row r="19" spans="1:23" x14ac:dyDescent="0.35">
      <c r="A19">
        <v>8</v>
      </c>
      <c r="B19">
        <v>1</v>
      </c>
      <c r="C19" s="1">
        <v>46234</v>
      </c>
      <c r="D19" t="s">
        <v>27</v>
      </c>
      <c r="F19">
        <v>25101003</v>
      </c>
      <c r="G19">
        <v>98774258</v>
      </c>
      <c r="T19" t="s">
        <v>31</v>
      </c>
      <c r="V19">
        <v>0</v>
      </c>
      <c r="W19" s="2">
        <f>V18</f>
        <v>187349.62183000002</v>
      </c>
    </row>
    <row r="20" spans="1:23" x14ac:dyDescent="0.35">
      <c r="A20">
        <v>8</v>
      </c>
      <c r="B20">
        <v>1</v>
      </c>
      <c r="C20" s="1">
        <v>46234</v>
      </c>
      <c r="D20" t="s">
        <v>27</v>
      </c>
      <c r="F20">
        <v>72053004</v>
      </c>
      <c r="G20">
        <v>98774258</v>
      </c>
      <c r="T20" t="s">
        <v>31</v>
      </c>
      <c r="V20">
        <f>V2*4.17%</f>
        <v>83400</v>
      </c>
      <c r="W20">
        <v>0</v>
      </c>
    </row>
    <row r="21" spans="1:23" x14ac:dyDescent="0.35">
      <c r="A21">
        <v>8</v>
      </c>
      <c r="B21">
        <v>1</v>
      </c>
      <c r="C21" s="1">
        <v>46234</v>
      </c>
      <c r="D21" t="s">
        <v>27</v>
      </c>
      <c r="F21">
        <v>25101004</v>
      </c>
      <c r="G21">
        <v>98774258</v>
      </c>
      <c r="T21" t="s">
        <v>31</v>
      </c>
      <c r="V21">
        <v>0</v>
      </c>
      <c r="W21">
        <f>V20</f>
        <v>83400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ARCHIVO PLANO</vt:lpstr>
      <vt:lpstr>51 - ADMINISTRATIVOS</vt:lpstr>
      <vt:lpstr>52 - OPERACIONALES</vt:lpstr>
      <vt:lpstr>72 - 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Gomez</cp:lastModifiedBy>
  <dcterms:modified xsi:type="dcterms:W3CDTF">2026-08-21T02:18:53Z</dcterms:modified>
</cp:coreProperties>
</file>